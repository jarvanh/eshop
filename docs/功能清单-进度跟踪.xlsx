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功能清单" sheetId="2" state="visible" r:id="rId2"/>
    <sheet name="统计看板" sheetId="3" state="visible" r:id="rId3"/>
  </sheets>
  <definedNames>
    <definedName name="_xlnm._FilterDatabase" localSheetId="1" hidden="1">'功能清单'!$A$1:$M$128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000000"/>
      <sz val="10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4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ont>
        <strike val="1"/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功能清单与进度跟踪（v1.0 · 2026-09-05）</t>
        </is>
      </c>
    </row>
    <row r="2">
      <c r="A2" s="2" t="inlineStr">
        <is>
          <t>依据《点餐系统功能清单.xlsx》127 项 + 横切技术项；本文件是功能的唯一事实源（做没做/怎么做/谁在做/何时完成）</t>
        </is>
      </c>
    </row>
    <row r="3">
      <c r="A3" s="2" t="inlineStr">
        <is>
          <t>配套：《点餐SaaS-详细实施计划.md》（怎么做：架构/技术方案）·《开源授权核验报告.md》</t>
        </is>
      </c>
    </row>
    <row r="4">
      <c r="A4" s="2" t="inlineStr"/>
    </row>
    <row r="5">
      <c r="A5" s="3" t="inlineStr">
        <is>
          <t>【字段定义】</t>
        </is>
      </c>
    </row>
    <row r="6">
      <c r="A6" s="2" t="inlineStr">
        <is>
          <t>重要性：P0=MVP 必须（不做无法上线运营）；P1=完整体验（上线后快速跟进）；P2=规模化（商业化阶段）</t>
        </is>
      </c>
    </row>
    <row r="7">
      <c r="A7" s="2" t="inlineStr">
        <is>
          <t>实现方式：芋道=底座直用；yshop移植=从 yshop-drink 开源版移植（MIT 已核验）；自研；三方SDK</t>
        </is>
      </c>
    </row>
    <row r="8">
      <c r="A8" s="2" t="inlineStr">
        <is>
          <t>参考项目：标注（只读）=协议不允许拷代码仅设计参考；未标注=MIT 可拷（保留版权声明并入 NOTICE.md）</t>
        </is>
      </c>
    </row>
    <row r="9">
      <c r="A9" s="2" t="inlineStr">
        <is>
          <t>阶段：里程碑+分期（如 M2·P0），与计划文档 §5 对应；带 * 可提前</t>
        </is>
      </c>
    </row>
    <row r="10">
      <c r="A10" s="2" t="inlineStr">
        <is>
          <t>复杂度：S=简单（CRUD/页面级）；M=常规（单域）；L=复杂（跨域/状态机/并发）；XL=子系统级</t>
        </is>
      </c>
    </row>
    <row r="11">
      <c r="A11" s="2" t="inlineStr">
        <is>
          <t>状态：未开始 → 进行中 → 已完成 → 已验收（里程碑验收通过才算已验收）；已取消</t>
        </is>
      </c>
    </row>
    <row r="12">
      <c r="A12" s="2" t="inlineStr">
        <is>
          <t>完成时间：填实际完成/验收日期 YYYY-MM-DD；这是记录字段，不是排期字段（排期看阶段列+计划 §9）</t>
        </is>
      </c>
    </row>
    <row r="13">
      <c r="A13" s="2" t="inlineStr"/>
    </row>
    <row r="14">
      <c r="A14" s="3" t="inlineStr">
        <is>
          <t>【维护规则】</t>
        </is>
      </c>
    </row>
    <row r="15">
      <c r="A15" s="2" t="inlineStr">
        <is>
          <t>1. 每周例会过一遍『进行中』项；里程碑结束批量对账</t>
        </is>
      </c>
    </row>
    <row r="16">
      <c r="A16" s="2" t="inlineStr">
        <is>
          <t>2. 状态只能前进：返工不改回状态，在备注记『YYYY-MM-DD 返工：原因』</t>
        </is>
      </c>
    </row>
    <row r="17">
      <c r="A17" s="2" t="inlineStr">
        <is>
          <t>3. 新增功能追加行（ID 顺延）不删历史；砍掉的功能标『已取消』+备注</t>
        </is>
      </c>
    </row>
    <row r="18">
      <c r="A18" s="2" t="inlineStr">
        <is>
          <t>4. 优先级变更需例会确认并同步计划文档 §2，备注记录原因</t>
        </is>
      </c>
    </row>
    <row r="19">
      <c r="A19" s="2" t="inlineStr"/>
    </row>
    <row r="20">
      <c r="A20" s="2" t="inlineStr">
        <is>
          <t>【ID 规则】A-xx 后台管理端 · C-xx 顾客移动端 · S-xx 门店端 · M-xx 商家中心 · R-xx 骑手中心 · X-xx 横切技术项；编号永不复用</t>
        </is>
      </c>
    </row>
    <row r="21">
      <c r="A21" s="2" t="inlineStr"/>
    </row>
    <row r="22">
      <c r="A22" s="2" t="inlineStr">
        <is>
          <t>【P0 上线门槛】A/C/S 端全部 P0 项达『已验收』+ M2/M3/M4-P0 里程碑验收通过（计划 §5.0）</t>
        </is>
      </c>
    </row>
    <row r="23">
      <c r="A23" s="2" t="inlineStr">
        <is>
          <t>【核心域必过单测】X-05 支付幂等 / X-12 优惠管道 / X-13 协同域 / X-08 提现域（计划 §8）</t>
        </is>
      </c>
    </row>
    <row r="24">
      <c r="A24" s="2" t="inlineStr"/>
    </row>
    <row r="25">
      <c r="A25" s="2" t="inlineStr">
        <is>
          <t>【颜色约定】重要性列：红=P0 黄=P1 绿=P2；状态列：蓝=进行中 绿=已完成/已验收 灰=已取消（删除线）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38" customWidth="1" min="4" max="4"/>
    <col width="15" customWidth="1" min="5" max="5"/>
    <col width="24" customWidth="1" min="6" max="6"/>
    <col width="30" customWidth="1" min="7" max="7"/>
    <col width="12" customWidth="1" min="8" max="8"/>
    <col width="7" customWidth="1" min="9" max="9"/>
    <col width="8" customWidth="1" min="10" max="10"/>
    <col width="11" customWidth="1" min="11" max="11"/>
    <col width="9" customWidth="1" min="12" max="12"/>
    <col width="42" customWidth="1" min="13" max="13"/>
  </cols>
  <sheetData>
    <row r="1" ht="22" customHeight="1">
      <c r="A1" s="4" t="inlineStr">
        <is>
          <t>ID</t>
        </is>
      </c>
      <c r="B1" s="4" t="inlineStr">
        <is>
          <t>端</t>
        </is>
      </c>
      <c r="C1" s="4" t="inlineStr">
        <is>
          <t>模块</t>
        </is>
      </c>
      <c r="D1" s="4" t="inlineStr">
        <is>
          <t>功能</t>
        </is>
      </c>
      <c r="E1" s="4" t="inlineStr">
        <is>
          <t>重要性</t>
        </is>
      </c>
      <c r="F1" s="4" t="inlineStr">
        <is>
          <t>实现方式</t>
        </is>
      </c>
      <c r="G1" s="4" t="inlineStr">
        <is>
          <t>参考项目</t>
        </is>
      </c>
      <c r="H1" s="4" t="inlineStr">
        <is>
          <t>阶段</t>
        </is>
      </c>
      <c r="I1" s="4" t="inlineStr">
        <is>
          <t>复杂度</t>
        </is>
      </c>
      <c r="J1" s="4" t="inlineStr">
        <is>
          <t>状态</t>
        </is>
      </c>
      <c r="K1" s="4" t="inlineStr">
        <is>
          <t>完成时间</t>
        </is>
      </c>
      <c r="L1" s="4" t="inlineStr">
        <is>
          <t>负责人</t>
        </is>
      </c>
      <c r="M1" s="4" t="inlineStr">
        <is>
          <t>备注</t>
        </is>
      </c>
    </row>
    <row r="2">
      <c r="A2" s="5" t="inlineStr">
        <is>
          <t>A-01</t>
        </is>
      </c>
      <c r="B2" s="5" t="inlineStr">
        <is>
          <t>A·后台</t>
        </is>
      </c>
      <c r="C2" s="5" t="inlineStr">
        <is>
          <t>装修</t>
        </is>
      </c>
      <c r="D2" s="6" t="inlineStr">
        <is>
          <t>首页自定义装修</t>
        </is>
      </c>
      <c r="E2" s="7" t="inlineStr">
        <is>
          <t>P1</t>
        </is>
      </c>
      <c r="F2" s="6" t="inlineStr">
        <is>
          <t>芋道 diy + yshop 组件移植</t>
        </is>
      </c>
      <c r="G2" s="6" t="inlineStr">
        <is>
          <t>yshop、芋道</t>
        </is>
      </c>
      <c r="H2" s="5" t="inlineStr">
        <is>
          <t>M8·P1</t>
        </is>
      </c>
      <c r="I2" s="5" t="inlineStr">
        <is>
          <t>S</t>
        </is>
      </c>
      <c r="J2" s="5" t="inlineStr">
        <is>
          <t>未开始</t>
        </is>
      </c>
      <c r="K2" s="5" t="inlineStr"/>
      <c r="L2" s="5" t="inlineStr"/>
      <c r="M2" s="6" t="inlineStr">
        <is>
          <t>餐饮组件：轮播/商品组/券礼包/公告/魔方；uniapp 渲染器组件白名单映射</t>
        </is>
      </c>
    </row>
    <row r="3">
      <c r="A3" s="5" t="inlineStr">
        <is>
          <t>A-02</t>
        </is>
      </c>
      <c r="B3" s="5" t="inlineStr">
        <is>
          <t>A·后台</t>
        </is>
      </c>
      <c r="C3" s="5" t="inlineStr">
        <is>
          <t>工作台</t>
        </is>
      </c>
      <c r="D3" s="6" t="inlineStr">
        <is>
          <t>工作台（实时订单与桌面数据）</t>
        </is>
      </c>
      <c r="E3" s="8" t="inlineStr">
        <is>
          <t>P0</t>
        </is>
      </c>
      <c r="F3" s="6" t="inlineStr">
        <is>
          <t>自研（WebSocket 推送）</t>
        </is>
      </c>
      <c r="G3" s="6" t="inlineStr">
        <is>
          <t>TKOB（KDS 看板）</t>
        </is>
      </c>
      <c r="H3" s="5" t="inlineStr">
        <is>
          <t>M3·P0</t>
        </is>
      </c>
      <c r="I3" s="5" t="inlineStr">
        <is>
          <t>L</t>
        </is>
      </c>
      <c r="J3" s="5" t="inlineStr">
        <is>
          <t>未开始</t>
        </is>
      </c>
      <c r="K3" s="5" t="inlineStr"/>
      <c r="L3" s="5" t="inlineStr"/>
      <c r="M3" s="6" t="inlineStr">
        <is>
          <t>接单语音提醒、桌台态可视化；依赖 A-05、A-21</t>
        </is>
      </c>
    </row>
    <row r="4">
      <c r="A4" s="5" t="inlineStr">
        <is>
          <t>A-03</t>
        </is>
      </c>
      <c r="B4" s="5" t="inlineStr">
        <is>
          <t>A·后台</t>
        </is>
      </c>
      <c r="C4" s="5" t="inlineStr">
        <is>
          <t>收银台</t>
        </is>
      </c>
      <c r="D4" s="6" t="inlineStr">
        <is>
          <t>收银台（挂单/取单/现金/余额/扫码收款）</t>
        </is>
      </c>
      <c r="E4" s="8" t="inlineStr">
        <is>
          <t>P0</t>
        </is>
      </c>
      <c r="F4" s="6" t="inlineStr">
        <is>
          <t>自研</t>
        </is>
      </c>
      <c r="G4" s="6" t="inlineStr">
        <is>
          <t>Floreant（只读：挂单领域规则）、Jeepay（只读：B扫C）</t>
        </is>
      </c>
      <c r="H4" s="5" t="inlineStr">
        <is>
          <t>M3·P0</t>
        </is>
      </c>
      <c r="I4" s="5" t="inlineStr">
        <is>
          <t>XL</t>
        </is>
      </c>
      <c r="J4" s="5" t="inlineStr">
        <is>
          <t>未开始</t>
        </is>
      </c>
      <c r="K4" s="5" t="inlineStr"/>
      <c r="L4" s="5" t="inlineStr"/>
      <c r="M4" s="6" t="inlineStr">
        <is>
          <t>挂单区队列+超时提醒；扫码枪 HID 键盘模拟；组合支付+抹零</t>
        </is>
      </c>
    </row>
    <row r="5">
      <c r="A5" s="5" t="inlineStr">
        <is>
          <t>A-04</t>
        </is>
      </c>
      <c r="B5" s="5" t="inlineStr">
        <is>
          <t>A·后台</t>
        </is>
      </c>
      <c r="C5" s="5" t="inlineStr">
        <is>
          <t>桌台</t>
        </is>
      </c>
      <c r="D5" s="6" t="inlineStr">
        <is>
          <t>桌台信息查看、协助点餐</t>
        </is>
      </c>
      <c r="E5" s="8" t="inlineStr">
        <is>
          <t>P0</t>
        </is>
      </c>
      <c r="F5" s="6" t="inlineStr">
        <is>
          <t>自研</t>
        </is>
      </c>
      <c r="G5" s="6" t="inlineStr">
        <is>
          <t>—</t>
        </is>
      </c>
      <c r="H5" s="5" t="inlineStr">
        <is>
          <t>M3·P0</t>
        </is>
      </c>
      <c r="I5" s="5" t="inlineStr">
        <is>
          <t>M</t>
        </is>
      </c>
      <c r="J5" s="5" t="inlineStr">
        <is>
          <t>未开始</t>
        </is>
      </c>
      <c r="K5" s="5" t="inlineStr"/>
      <c r="L5" s="5" t="inlineStr"/>
      <c r="M5" s="6" t="inlineStr">
        <is>
          <t>依赖 A-05 桌号管理</t>
        </is>
      </c>
    </row>
    <row r="6">
      <c r="A6" s="5" t="inlineStr">
        <is>
          <t>A-05</t>
        </is>
      </c>
      <c r="B6" s="5" t="inlineStr">
        <is>
          <t>A·后台</t>
        </is>
      </c>
      <c r="C6" s="5" t="inlineStr">
        <is>
          <t>门店</t>
        </is>
      </c>
      <c r="D6" s="6" t="inlineStr">
        <is>
          <t>桌号管理（批量添加/导入/二维码生成）</t>
        </is>
      </c>
      <c r="E6" s="8" t="inlineStr">
        <is>
          <t>P0</t>
        </is>
      </c>
      <c r="F6" s="6" t="inlineStr">
        <is>
          <t>自研</t>
        </is>
      </c>
      <c r="G6" s="6" t="inlineStr">
        <is>
          <t>—</t>
        </is>
      </c>
      <c r="H6" s="5" t="inlineStr">
        <is>
          <t>M1·P0</t>
        </is>
      </c>
      <c r="I6" s="5" t="inlineStr">
        <is>
          <t>M</t>
        </is>
      </c>
      <c r="J6" s="5" t="inlineStr">
        <is>
          <t>未开始</t>
        </is>
      </c>
      <c r="K6" s="5" t="inlineStr"/>
      <c r="L6" s="5" t="inlineStr"/>
      <c r="M6" s="6" t="inlineStr">
        <is>
          <t>桌码防伪签名；批量导出 PDF 物料</t>
        </is>
      </c>
    </row>
    <row r="7">
      <c r="A7" s="5" t="inlineStr">
        <is>
          <t>A-06</t>
        </is>
      </c>
      <c r="B7" s="5" t="inlineStr">
        <is>
          <t>A·后台</t>
        </is>
      </c>
      <c r="C7" s="5" t="inlineStr">
        <is>
          <t>门店</t>
        </is>
      </c>
      <c r="D7" s="6" t="inlineStr">
        <is>
          <t>打印机管理（易联云/飞鹅）</t>
        </is>
      </c>
      <c r="E7" s="8" t="inlineStr">
        <is>
          <t>P0</t>
        </is>
      </c>
      <c r="F7" s="6" t="inlineStr">
        <is>
          <t>自研 + 厂商 SDK</t>
        </is>
      </c>
      <c r="G7" s="6" t="inlineStr">
        <is>
          <t>厂商官方文档</t>
        </is>
      </c>
      <c r="H7" s="5" t="inlineStr">
        <is>
          <t>M3·P0</t>
        </is>
      </c>
      <c r="I7" s="5" t="inlineStr">
        <is>
          <t>M</t>
        </is>
      </c>
      <c r="J7" s="5" t="inlineStr">
        <is>
          <t>未开始</t>
        </is>
      </c>
      <c r="K7" s="5" t="inlineStr"/>
      <c r="L7" s="5" t="inlineStr"/>
      <c r="M7" s="6" t="inlineStr">
        <is>
          <t>适配器模式；后厨分组路由、故障降级备用机</t>
        </is>
      </c>
    </row>
    <row r="8">
      <c r="A8" s="5" t="inlineStr">
        <is>
          <t>A-07</t>
        </is>
      </c>
      <c r="B8" s="5" t="inlineStr">
        <is>
          <t>A·后台</t>
        </is>
      </c>
      <c r="C8" s="5" t="inlineStr">
        <is>
          <t>门店</t>
        </is>
      </c>
      <c r="D8" s="6" t="inlineStr">
        <is>
          <t>门店管理（管理员/打印机绑定）</t>
        </is>
      </c>
      <c r="E8" s="8" t="inlineStr">
        <is>
          <t>P0</t>
        </is>
      </c>
      <c r="F8" s="6" t="inlineStr">
        <is>
          <t>自研</t>
        </is>
      </c>
      <c r="G8" s="6" t="inlineStr">
        <is>
          <t>—</t>
        </is>
      </c>
      <c r="H8" s="5" t="inlineStr">
        <is>
          <t>M1·P0</t>
        </is>
      </c>
      <c r="I8" s="5" t="inlineStr">
        <is>
          <t>M</t>
        </is>
      </c>
      <c r="J8" s="5" t="inlineStr">
        <is>
          <t>未开始</t>
        </is>
      </c>
      <c r="K8" s="5" t="inlineStr"/>
      <c r="L8" s="5" t="inlineStr"/>
      <c r="M8" s="6" t="inlineStr"/>
    </row>
    <row r="9">
      <c r="A9" s="5" t="inlineStr">
        <is>
          <t>A-08</t>
        </is>
      </c>
      <c r="B9" s="5" t="inlineStr">
        <is>
          <t>A·后台</t>
        </is>
      </c>
      <c r="C9" s="5" t="inlineStr">
        <is>
          <t>门店</t>
        </is>
      </c>
      <c r="D9" s="6" t="inlineStr">
        <is>
          <t>广告图管理</t>
        </is>
      </c>
      <c r="E9" s="8" t="inlineStr">
        <is>
          <t>P0</t>
        </is>
      </c>
      <c r="F9" s="6" t="inlineStr">
        <is>
          <t>yshop shopads 移植</t>
        </is>
      </c>
      <c r="G9" s="6" t="inlineStr">
        <is>
          <t>yshop</t>
        </is>
      </c>
      <c r="H9" s="5" t="inlineStr">
        <is>
          <t>M2·P0</t>
        </is>
      </c>
      <c r="I9" s="5" t="inlineStr">
        <is>
          <t>S</t>
        </is>
      </c>
      <c r="J9" s="5" t="inlineStr">
        <is>
          <t>未开始</t>
        </is>
      </c>
      <c r="K9" s="5" t="inlineStr"/>
      <c r="L9" s="5" t="inlineStr"/>
      <c r="M9" s="6" t="inlineStr">
        <is>
          <t>原 P1 上调：M2 首页轮播依赖</t>
        </is>
      </c>
    </row>
    <row r="10">
      <c r="A10" s="5" t="inlineStr">
        <is>
          <t>A-09</t>
        </is>
      </c>
      <c r="B10" s="5" t="inlineStr">
        <is>
          <t>A·后台</t>
        </is>
      </c>
      <c r="C10" s="5" t="inlineStr">
        <is>
          <t>门店</t>
        </is>
      </c>
      <c r="D10" s="6" t="inlineStr">
        <is>
          <t>新闻管理</t>
        </is>
      </c>
      <c r="E10" s="9" t="inlineStr">
        <is>
          <t>P2</t>
        </is>
      </c>
      <c r="F10" s="6" t="inlineStr">
        <is>
          <t>自研（简单 CRUD）</t>
        </is>
      </c>
      <c r="G10" s="6" t="inlineStr">
        <is>
          <t>—</t>
        </is>
      </c>
      <c r="H10" s="5" t="inlineStr">
        <is>
          <t>M8·P2</t>
        </is>
      </c>
      <c r="I10" s="5" t="inlineStr">
        <is>
          <t>S</t>
        </is>
      </c>
      <c r="J10" s="5" t="inlineStr">
        <is>
          <t>未开始</t>
        </is>
      </c>
      <c r="K10" s="5" t="inlineStr"/>
      <c r="L10" s="5" t="inlineStr"/>
      <c r="M10" s="6" t="inlineStr"/>
    </row>
    <row r="11">
      <c r="A11" s="5" t="inlineStr">
        <is>
          <t>A-10</t>
        </is>
      </c>
      <c r="B11" s="5" t="inlineStr">
        <is>
          <t>A·后台</t>
        </is>
      </c>
      <c r="C11" s="5" t="inlineStr">
        <is>
          <t>门店</t>
        </is>
      </c>
      <c r="D11" s="6" t="inlineStr">
        <is>
          <t>门店用户（移动端商家绑定）</t>
        </is>
      </c>
      <c r="E11" s="8" t="inlineStr">
        <is>
          <t>P0</t>
        </is>
      </c>
      <c r="F11" s="6" t="inlineStr">
        <is>
          <t>自研</t>
        </is>
      </c>
      <c r="G11" s="6" t="inlineStr">
        <is>
          <t>—</t>
        </is>
      </c>
      <c r="H11" s="5" t="inlineStr">
        <is>
          <t>M1·P0</t>
        </is>
      </c>
      <c r="I11" s="5" t="inlineStr">
        <is>
          <t>M</t>
        </is>
      </c>
      <c r="J11" s="5" t="inlineStr">
        <is>
          <t>未开始</t>
        </is>
      </c>
      <c r="K11" s="5" t="inlineStr"/>
      <c r="L11" s="5" t="inlineStr"/>
      <c r="M11" s="6" t="inlineStr">
        <is>
          <t>商家中心（M 端）登录主体</t>
        </is>
      </c>
    </row>
    <row r="12">
      <c r="A12" s="5" t="inlineStr">
        <is>
          <t>A-11</t>
        </is>
      </c>
      <c r="B12" s="5" t="inlineStr">
        <is>
          <t>A·后台</t>
        </is>
      </c>
      <c r="C12" s="5" t="inlineStr">
        <is>
          <t>门店</t>
        </is>
      </c>
      <c r="D12" s="6" t="inlineStr">
        <is>
          <t>桌面分类</t>
        </is>
      </c>
      <c r="E12" s="7" t="inlineStr">
        <is>
          <t>P1</t>
        </is>
      </c>
      <c r="F12" s="6" t="inlineStr">
        <is>
          <t>自研</t>
        </is>
      </c>
      <c r="G12" s="6" t="inlineStr">
        <is>
          <t>—</t>
        </is>
      </c>
      <c r="H12" s="5" t="inlineStr">
        <is>
          <t>M6·P1</t>
        </is>
      </c>
      <c r="I12" s="5" t="inlineStr">
        <is>
          <t>S</t>
        </is>
      </c>
      <c r="J12" s="5" t="inlineStr">
        <is>
          <t>未开始</t>
        </is>
      </c>
      <c r="K12" s="5" t="inlineStr"/>
      <c r="L12" s="5" t="inlineStr"/>
      <c r="M12" s="6" t="inlineStr">
        <is>
          <t>包间/散台，关联预约可约性</t>
        </is>
      </c>
    </row>
    <row r="13">
      <c r="A13" s="5" t="inlineStr">
        <is>
          <t>A-12</t>
        </is>
      </c>
      <c r="B13" s="5" t="inlineStr">
        <is>
          <t>A·后台</t>
        </is>
      </c>
      <c r="C13" s="5" t="inlineStr">
        <is>
          <t>门店</t>
        </is>
      </c>
      <c r="D13" s="6" t="inlineStr">
        <is>
          <t>预约标签</t>
        </is>
      </c>
      <c r="E13" s="7" t="inlineStr">
        <is>
          <t>P1</t>
        </is>
      </c>
      <c r="F13" s="6" t="inlineStr">
        <is>
          <t>自研</t>
        </is>
      </c>
      <c r="G13" s="6" t="inlineStr">
        <is>
          <t>—</t>
        </is>
      </c>
      <c r="H13" s="5" t="inlineStr">
        <is>
          <t>M6·P1</t>
        </is>
      </c>
      <c r="I13" s="5" t="inlineStr">
        <is>
          <t>S</t>
        </is>
      </c>
      <c r="J13" s="5" t="inlineStr">
        <is>
          <t>未开始</t>
        </is>
      </c>
      <c r="K13" s="5" t="inlineStr"/>
      <c r="L13" s="5" t="inlineStr"/>
      <c r="M13" s="6" t="inlineStr"/>
    </row>
    <row r="14">
      <c r="A14" s="5" t="inlineStr">
        <is>
          <t>A-13</t>
        </is>
      </c>
      <c r="B14" s="5" t="inlineStr">
        <is>
          <t>A·后台</t>
        </is>
      </c>
      <c r="C14" s="5" t="inlineStr">
        <is>
          <t>门店</t>
        </is>
      </c>
      <c r="D14" s="6" t="inlineStr">
        <is>
          <t>预约规则</t>
        </is>
      </c>
      <c r="E14" s="7" t="inlineStr">
        <is>
          <t>P1</t>
        </is>
      </c>
      <c r="F14" s="6" t="inlineStr">
        <is>
          <t>自研</t>
        </is>
      </c>
      <c r="G14" s="6" t="inlineStr">
        <is>
          <t>TastyIgniter（只读）</t>
        </is>
      </c>
      <c r="H14" s="5" t="inlineStr">
        <is>
          <t>M6·P1</t>
        </is>
      </c>
      <c r="I14" s="5" t="inlineStr">
        <is>
          <t>M</t>
        </is>
      </c>
      <c r="J14" s="5" t="inlineStr">
        <is>
          <t>未开始</t>
        </is>
      </c>
      <c r="K14" s="5" t="inlineStr"/>
      <c r="L14" s="5" t="inlineStr"/>
      <c r="M14" s="6" t="inlineStr">
        <is>
          <t>时段切分/容量/提前量/取消政策</t>
        </is>
      </c>
    </row>
    <row r="15">
      <c r="A15" s="5" t="inlineStr">
        <is>
          <t>A-14</t>
        </is>
      </c>
      <c r="B15" s="5" t="inlineStr">
        <is>
          <t>A·后台</t>
        </is>
      </c>
      <c r="C15" s="5" t="inlineStr">
        <is>
          <t>商品</t>
        </is>
      </c>
      <c r="D15" s="6" t="inlineStr">
        <is>
          <t>商品多规格（SKU 属性）</t>
        </is>
      </c>
      <c r="E15" s="8" t="inlineStr">
        <is>
          <t>P0</t>
        </is>
      </c>
      <c r="F15" s="6" t="inlineStr">
        <is>
          <t>yshop 规格三表移植</t>
        </is>
      </c>
      <c r="G15" s="6" t="inlineStr">
        <is>
          <t>yshop（attr/attrresult/attrvalue）</t>
        </is>
      </c>
      <c r="H15" s="5" t="inlineStr">
        <is>
          <t>M1·P0</t>
        </is>
      </c>
      <c r="I15" s="5" t="inlineStr">
        <is>
          <t>L</t>
        </is>
      </c>
      <c r="J15" s="5" t="inlineStr">
        <is>
          <t>未开始</t>
        </is>
      </c>
      <c r="K15" s="5" t="inlineStr"/>
      <c r="L15" s="5" t="inlineStr"/>
      <c r="M15" s="6" t="inlineStr">
        <is>
          <t>餐饮化扩展：估清/时段价/做法类非库存规格（BiteGo priceItemKey 思路）</t>
        </is>
      </c>
    </row>
    <row r="16">
      <c r="A16" s="5" t="inlineStr">
        <is>
          <t>A-15</t>
        </is>
      </c>
      <c r="B16" s="5" t="inlineStr">
        <is>
          <t>A·后台</t>
        </is>
      </c>
      <c r="C16" s="5" t="inlineStr">
        <is>
          <t>商品</t>
        </is>
      </c>
      <c r="D16" s="6" t="inlineStr">
        <is>
          <t>商品分类</t>
        </is>
      </c>
      <c r="E16" s="8" t="inlineStr">
        <is>
          <t>P0</t>
        </is>
      </c>
      <c r="F16" s="6" t="inlineStr">
        <is>
          <t>芋道</t>
        </is>
      </c>
      <c r="G16" s="6" t="inlineStr">
        <is>
          <t>芋道</t>
        </is>
      </c>
      <c r="H16" s="5" t="inlineStr">
        <is>
          <t>M1·P0</t>
        </is>
      </c>
      <c r="I16" s="5" t="inlineStr">
        <is>
          <t>S</t>
        </is>
      </c>
      <c r="J16" s="5" t="inlineStr">
        <is>
          <t>未开始</t>
        </is>
      </c>
      <c r="K16" s="5" t="inlineStr"/>
      <c r="L16" s="5" t="inlineStr"/>
      <c r="M16" s="6" t="inlineStr"/>
    </row>
    <row r="17">
      <c r="A17" s="5" t="inlineStr">
        <is>
          <t>A-16</t>
        </is>
      </c>
      <c r="B17" s="5" t="inlineStr">
        <is>
          <t>A·后台</t>
        </is>
      </c>
      <c r="C17" s="5" t="inlineStr">
        <is>
          <t>商品</t>
        </is>
      </c>
      <c r="D17" s="6" t="inlineStr">
        <is>
          <t>商品管理（上下架/导入）</t>
        </is>
      </c>
      <c r="E17" s="8" t="inlineStr">
        <is>
          <t>P0</t>
        </is>
      </c>
      <c r="F17" s="6" t="inlineStr">
        <is>
          <t>芋道 + yshop</t>
        </is>
      </c>
      <c r="G17" s="6" t="inlineStr">
        <is>
          <t>yshop</t>
        </is>
      </c>
      <c r="H17" s="5" t="inlineStr">
        <is>
          <t>M1·P0</t>
        </is>
      </c>
      <c r="I17" s="5" t="inlineStr">
        <is>
          <t>M</t>
        </is>
      </c>
      <c r="J17" s="5" t="inlineStr">
        <is>
          <t>未开始</t>
        </is>
      </c>
      <c r="K17" s="5" t="inlineStr"/>
      <c r="L17" s="5" t="inlineStr"/>
      <c r="M17" s="6" t="inlineStr"/>
    </row>
    <row r="18">
      <c r="A18" s="5" t="inlineStr">
        <is>
          <t>A-17</t>
        </is>
      </c>
      <c r="B18" s="5" t="inlineStr">
        <is>
          <t>A·后台</t>
        </is>
      </c>
      <c r="C18" s="5" t="inlineStr">
        <is>
          <t>订单</t>
        </is>
      </c>
      <c r="D18" s="6" t="inlineStr">
        <is>
          <t>堂食订单</t>
        </is>
      </c>
      <c r="E18" s="8" t="inlineStr">
        <is>
          <t>P0</t>
        </is>
      </c>
      <c r="F18" s="6" t="inlineStr">
        <is>
          <t>芋道 trade 扩展</t>
        </is>
      </c>
      <c r="G18" s="6" t="inlineStr">
        <is>
          <t>—</t>
        </is>
      </c>
      <c r="H18" s="5" t="inlineStr">
        <is>
          <t>M2·P0</t>
        </is>
      </c>
      <c r="I18" s="5" t="inlineStr">
        <is>
          <t>L</t>
        </is>
      </c>
      <c r="J18" s="5" t="inlineStr">
        <is>
          <t>未开始</t>
        </is>
      </c>
      <c r="K18" s="5" t="inlineStr"/>
      <c r="L18" s="5" t="inlineStr"/>
      <c r="M18" s="6" t="inlineStr">
        <is>
          <t>dine_mode 扩展；扫桌码下单；加餐并单</t>
        </is>
      </c>
    </row>
    <row r="19">
      <c r="A19" s="5" t="inlineStr">
        <is>
          <t>A-18</t>
        </is>
      </c>
      <c r="B19" s="5" t="inlineStr">
        <is>
          <t>A·后台</t>
        </is>
      </c>
      <c r="C19" s="5" t="inlineStr">
        <is>
          <t>订单</t>
        </is>
      </c>
      <c r="D19" s="6" t="inlineStr">
        <is>
          <t>外卖订单</t>
        </is>
      </c>
      <c r="E19" s="8" t="inlineStr">
        <is>
          <t>P0</t>
        </is>
      </c>
      <c r="F19" s="6" t="inlineStr">
        <is>
          <t>芋道 trade 扩展</t>
        </is>
      </c>
      <c r="G19" s="6" t="inlineStr">
        <is>
          <t>—</t>
        </is>
      </c>
      <c r="H19" s="5" t="inlineStr">
        <is>
          <t>M2·P0</t>
        </is>
      </c>
      <c r="I19" s="5" t="inlineStr">
        <is>
          <t>L</t>
        </is>
      </c>
      <c r="J19" s="5" t="inlineStr">
        <is>
          <t>未开始</t>
        </is>
      </c>
      <c r="K19" s="5" t="inlineStr"/>
      <c r="L19" s="5" t="inlineStr"/>
      <c r="M19" s="6" t="inlineStr">
        <is>
          <t>依赖 X-07 配送调度（UU跑腿）</t>
        </is>
      </c>
    </row>
    <row r="20">
      <c r="A20" s="5" t="inlineStr">
        <is>
          <t>A-19</t>
        </is>
      </c>
      <c r="B20" s="5" t="inlineStr">
        <is>
          <t>A·后台</t>
        </is>
      </c>
      <c r="C20" s="5" t="inlineStr">
        <is>
          <t>订单</t>
        </is>
      </c>
      <c r="D20" s="6" t="inlineStr">
        <is>
          <t>自取订单</t>
        </is>
      </c>
      <c r="E20" s="8" t="inlineStr">
        <is>
          <t>P0</t>
        </is>
      </c>
      <c r="F20" s="6" t="inlineStr">
        <is>
          <t>芋道 trade 扩展</t>
        </is>
      </c>
      <c r="G20" s="6" t="inlineStr">
        <is>
          <t>—</t>
        </is>
      </c>
      <c r="H20" s="5" t="inlineStr">
        <is>
          <t>M2·P0</t>
        </is>
      </c>
      <c r="I20" s="5" t="inlineStr">
        <is>
          <t>M</t>
        </is>
      </c>
      <c r="J20" s="5" t="inlineStr">
        <is>
          <t>未开始</t>
        </is>
      </c>
      <c r="K20" s="5" t="inlineStr"/>
      <c r="L20" s="5" t="inlineStr"/>
      <c r="M20" s="6" t="inlineStr">
        <is>
          <t>取餐号/叫号</t>
        </is>
      </c>
    </row>
    <row r="21">
      <c r="A21" s="5" t="inlineStr">
        <is>
          <t>A-20</t>
        </is>
      </c>
      <c r="B21" s="5" t="inlineStr">
        <is>
          <t>A·后台</t>
        </is>
      </c>
      <c r="C21" s="5" t="inlineStr">
        <is>
          <t>订单</t>
        </is>
      </c>
      <c r="D21" s="6" t="inlineStr">
        <is>
          <t>预约订单</t>
        </is>
      </c>
      <c r="E21" s="7" t="inlineStr">
        <is>
          <t>P1</t>
        </is>
      </c>
      <c r="F21" s="6" t="inlineStr">
        <is>
          <t>自研</t>
        </is>
      </c>
      <c r="G21" s="6" t="inlineStr">
        <is>
          <t>TastyIgniter（预约设计）</t>
        </is>
      </c>
      <c r="H21" s="5" t="inlineStr">
        <is>
          <t>M6·P1</t>
        </is>
      </c>
      <c r="I21" s="5" t="inlineStr">
        <is>
          <t>M</t>
        </is>
      </c>
      <c r="J21" s="5" t="inlineStr">
        <is>
          <t>未开始</t>
        </is>
      </c>
      <c r="K21" s="5" t="inlineStr"/>
      <c r="L21" s="5" t="inlineStr"/>
      <c r="M21" s="6" t="inlineStr">
        <is>
          <t>依赖 A-13 预约规则</t>
        </is>
      </c>
    </row>
    <row r="22">
      <c r="A22" s="5" t="inlineStr">
        <is>
          <t>A-21</t>
        </is>
      </c>
      <c r="B22" s="5" t="inlineStr">
        <is>
          <t>A·后台</t>
        </is>
      </c>
      <c r="C22" s="5" t="inlineStr">
        <is>
          <t>订单</t>
        </is>
      </c>
      <c r="D22" s="6" t="inlineStr">
        <is>
          <t>收银订单</t>
        </is>
      </c>
      <c r="E22" s="8" t="inlineStr">
        <is>
          <t>P0</t>
        </is>
      </c>
      <c r="F22" s="6" t="inlineStr">
        <is>
          <t>自研</t>
        </is>
      </c>
      <c r="G22" s="6" t="inlineStr">
        <is>
          <t>—</t>
        </is>
      </c>
      <c r="H22" s="5" t="inlineStr">
        <is>
          <t>M3·P0</t>
        </is>
      </c>
      <c r="I22" s="5" t="inlineStr">
        <is>
          <t>M</t>
        </is>
      </c>
      <c r="J22" s="5" t="inlineStr">
        <is>
          <t>未开始</t>
        </is>
      </c>
      <c r="K22" s="5" t="inlineStr"/>
      <c r="L22" s="5" t="inlineStr"/>
      <c r="M22" s="6" t="inlineStr">
        <is>
          <t>依赖 A-03</t>
        </is>
      </c>
    </row>
    <row r="23">
      <c r="A23" s="5" t="inlineStr">
        <is>
          <t>A-22</t>
        </is>
      </c>
      <c r="B23" s="5" t="inlineStr">
        <is>
          <t>A·后台</t>
        </is>
      </c>
      <c r="C23" s="5" t="inlineStr">
        <is>
          <t>会员</t>
        </is>
      </c>
      <c r="D23" s="6" t="inlineStr">
        <is>
          <t>会员管理（加余额/积分）</t>
        </is>
      </c>
      <c r="E23" s="8" t="inlineStr">
        <is>
          <t>P0</t>
        </is>
      </c>
      <c r="F23" s="6" t="inlineStr">
        <is>
          <t>芋道</t>
        </is>
      </c>
      <c r="G23" s="6" t="inlineStr">
        <is>
          <t>芋道</t>
        </is>
      </c>
      <c r="H23" s="5" t="inlineStr">
        <is>
          <t>M4·P0</t>
        </is>
      </c>
      <c r="I23" s="5" t="inlineStr">
        <is>
          <t>S</t>
        </is>
      </c>
      <c r="J23" s="5" t="inlineStr">
        <is>
          <t>未开始</t>
        </is>
      </c>
      <c r="K23" s="5" t="inlineStr"/>
      <c r="L23" s="5" t="inlineStr"/>
      <c r="M23" s="6" t="inlineStr"/>
    </row>
    <row r="24">
      <c r="A24" s="5" t="inlineStr">
        <is>
          <t>A-23</t>
        </is>
      </c>
      <c r="B24" s="5" t="inlineStr">
        <is>
          <t>A·后台</t>
        </is>
      </c>
      <c r="C24" s="5" t="inlineStr">
        <is>
          <t>会员</t>
        </is>
      </c>
      <c r="D24" s="6" t="inlineStr">
        <is>
          <t>地址管理</t>
        </is>
      </c>
      <c r="E24" s="8" t="inlineStr">
        <is>
          <t>P0</t>
        </is>
      </c>
      <c r="F24" s="6" t="inlineStr">
        <is>
          <t>芋道</t>
        </is>
      </c>
      <c r="G24" s="6" t="inlineStr">
        <is>
          <t>芋道</t>
        </is>
      </c>
      <c r="H24" s="5" t="inlineStr">
        <is>
          <t>M2·P0</t>
        </is>
      </c>
      <c r="I24" s="5" t="inlineStr">
        <is>
          <t>S</t>
        </is>
      </c>
      <c r="J24" s="5" t="inlineStr">
        <is>
          <t>未开始</t>
        </is>
      </c>
      <c r="K24" s="5" t="inlineStr"/>
      <c r="L24" s="5" t="inlineStr"/>
      <c r="M24" s="6" t="inlineStr"/>
    </row>
    <row r="25">
      <c r="A25" s="5" t="inlineStr">
        <is>
          <t>A-24</t>
        </is>
      </c>
      <c r="B25" s="5" t="inlineStr">
        <is>
          <t>A·后台</t>
        </is>
      </c>
      <c r="C25" s="5" t="inlineStr">
        <is>
          <t>会员</t>
        </is>
      </c>
      <c r="D25" s="6" t="inlineStr">
        <is>
          <t>我的服务（个人中心菜单配置）</t>
        </is>
      </c>
      <c r="E25" s="7" t="inlineStr">
        <is>
          <t>P1</t>
        </is>
      </c>
      <c r="F25" s="6" t="inlineStr">
        <is>
          <t>yshop service 移植</t>
        </is>
      </c>
      <c r="G25" s="6" t="inlineStr">
        <is>
          <t>yshop</t>
        </is>
      </c>
      <c r="H25" s="5" t="inlineStr">
        <is>
          <t>M4·P1</t>
        </is>
      </c>
      <c r="I25" s="5" t="inlineStr">
        <is>
          <t>S</t>
        </is>
      </c>
      <c r="J25" s="5" t="inlineStr">
        <is>
          <t>未开始</t>
        </is>
      </c>
      <c r="K25" s="5" t="inlineStr"/>
      <c r="L25" s="5" t="inlineStr"/>
      <c r="M25" s="6" t="inlineStr"/>
    </row>
    <row r="26">
      <c r="A26" s="5" t="inlineStr">
        <is>
          <t>A-25</t>
        </is>
      </c>
      <c r="B26" s="5" t="inlineStr">
        <is>
          <t>A·后台</t>
        </is>
      </c>
      <c r="C26" s="5" t="inlineStr">
        <is>
          <t>会员</t>
        </is>
      </c>
      <c r="D26" s="6" t="inlineStr">
        <is>
          <t>会员标签</t>
        </is>
      </c>
      <c r="E26" s="7" t="inlineStr">
        <is>
          <t>P1</t>
        </is>
      </c>
      <c r="F26" s="6" t="inlineStr">
        <is>
          <t>芋道</t>
        </is>
      </c>
      <c r="G26" s="6" t="inlineStr">
        <is>
          <t>芋道</t>
        </is>
      </c>
      <c r="H26" s="5" t="inlineStr">
        <is>
          <t>M4·P1</t>
        </is>
      </c>
      <c r="I26" s="5" t="inlineStr">
        <is>
          <t>S</t>
        </is>
      </c>
      <c r="J26" s="5" t="inlineStr">
        <is>
          <t>未开始</t>
        </is>
      </c>
      <c r="K26" s="5" t="inlineStr"/>
      <c r="L26" s="5" t="inlineStr"/>
      <c r="M26" s="6" t="inlineStr"/>
    </row>
    <row r="27">
      <c r="A27" s="5" t="inlineStr">
        <is>
          <t>A-26</t>
        </is>
      </c>
      <c r="B27" s="5" t="inlineStr">
        <is>
          <t>A·后台</t>
        </is>
      </c>
      <c r="C27" s="5" t="inlineStr">
        <is>
          <t>会员</t>
        </is>
      </c>
      <c r="D27" s="6" t="inlineStr">
        <is>
          <t>会员积分</t>
        </is>
      </c>
      <c r="E27" s="8" t="inlineStr">
        <is>
          <t>P0</t>
        </is>
      </c>
      <c r="F27" s="6" t="inlineStr">
        <is>
          <t>芋道 + 自研混合抵扣</t>
        </is>
      </c>
      <c r="G27" s="6" t="inlineStr">
        <is>
          <t>芋道</t>
        </is>
      </c>
      <c r="H27" s="5" t="inlineStr">
        <is>
          <t>M4·P0</t>
        </is>
      </c>
      <c r="I27" s="5" t="inlineStr">
        <is>
          <t>M</t>
        </is>
      </c>
      <c r="J27" s="5" t="inlineStr">
        <is>
          <t>未开始</t>
        </is>
      </c>
      <c r="K27" s="5" t="inlineStr"/>
      <c r="L27" s="5" t="inlineStr"/>
      <c r="M27" s="6" t="inlineStr">
        <is>
          <t>积分+金额混合兑换比例配置；积分过期</t>
        </is>
      </c>
    </row>
    <row r="28">
      <c r="A28" s="5" t="inlineStr">
        <is>
          <t>A-27</t>
        </is>
      </c>
      <c r="B28" s="5" t="inlineStr">
        <is>
          <t>A·后台</t>
        </is>
      </c>
      <c r="C28" s="5" t="inlineStr">
        <is>
          <t>会员</t>
        </is>
      </c>
      <c r="D28" s="6" t="inlineStr">
        <is>
          <t>会员等级</t>
        </is>
      </c>
      <c r="E28" s="7" t="inlineStr">
        <is>
          <t>P1</t>
        </is>
      </c>
      <c r="F28" s="6" t="inlineStr">
        <is>
          <t>芋道</t>
        </is>
      </c>
      <c r="G28" s="6" t="inlineStr">
        <is>
          <t>芋道</t>
        </is>
      </c>
      <c r="H28" s="5" t="inlineStr">
        <is>
          <t>M4·P1</t>
        </is>
      </c>
      <c r="I28" s="5" t="inlineStr">
        <is>
          <t>M</t>
        </is>
      </c>
      <c r="J28" s="5" t="inlineStr">
        <is>
          <t>未开始</t>
        </is>
      </c>
      <c r="K28" s="5" t="inlineStr"/>
      <c r="L28" s="5" t="inlineStr"/>
      <c r="M28" s="6" t="inlineStr">
        <is>
          <t>折扣/积分加速</t>
        </is>
      </c>
    </row>
    <row r="29">
      <c r="A29" s="5" t="inlineStr">
        <is>
          <t>A-28</t>
        </is>
      </c>
      <c r="B29" s="5" t="inlineStr">
        <is>
          <t>A·后台</t>
        </is>
      </c>
      <c r="C29" s="5" t="inlineStr">
        <is>
          <t>会员</t>
        </is>
      </c>
      <c r="D29" s="6" t="inlineStr">
        <is>
          <t>会员权益</t>
        </is>
      </c>
      <c r="E29" s="7" t="inlineStr">
        <is>
          <t>P1</t>
        </is>
      </c>
      <c r="F29" s="6" t="inlineStr">
        <is>
          <t>自研</t>
        </is>
      </c>
      <c r="G29" s="6" t="inlineStr">
        <is>
          <t>—</t>
        </is>
      </c>
      <c r="H29" s="5" t="inlineStr">
        <is>
          <t>M4·P1</t>
        </is>
      </c>
      <c r="I29" s="5" t="inlineStr">
        <is>
          <t>M</t>
        </is>
      </c>
      <c r="J29" s="5" t="inlineStr">
        <is>
          <t>未开始</t>
        </is>
      </c>
      <c r="K29" s="5" t="inlineStr"/>
      <c r="L29" s="5" t="inlineStr"/>
      <c r="M29" s="6" t="inlineStr">
        <is>
          <t>与 A-38 会员卡联动</t>
        </is>
      </c>
    </row>
    <row r="30">
      <c r="A30" s="5" t="inlineStr">
        <is>
          <t>A-29</t>
        </is>
      </c>
      <c r="B30" s="5" t="inlineStr">
        <is>
          <t>A·后台</t>
        </is>
      </c>
      <c r="C30" s="5" t="inlineStr">
        <is>
          <t>会员</t>
        </is>
      </c>
      <c r="D30" s="6" t="inlineStr">
        <is>
          <t>会员配置</t>
        </is>
      </c>
      <c r="E30" s="7" t="inlineStr">
        <is>
          <t>P1</t>
        </is>
      </c>
      <c r="F30" s="6" t="inlineStr">
        <is>
          <t>芋道</t>
        </is>
      </c>
      <c r="G30" s="6" t="inlineStr">
        <is>
          <t>芋道</t>
        </is>
      </c>
      <c r="H30" s="5" t="inlineStr">
        <is>
          <t>M4·P1</t>
        </is>
      </c>
      <c r="I30" s="5" t="inlineStr">
        <is>
          <t>S</t>
        </is>
      </c>
      <c r="J30" s="5" t="inlineStr">
        <is>
          <t>未开始</t>
        </is>
      </c>
      <c r="K30" s="5" t="inlineStr"/>
      <c r="L30" s="5" t="inlineStr"/>
      <c r="M30" s="6" t="inlineStr"/>
    </row>
    <row r="31">
      <c r="A31" s="5" t="inlineStr">
        <is>
          <t>A-30</t>
        </is>
      </c>
      <c r="B31" s="5" t="inlineStr">
        <is>
          <t>A·后台</t>
        </is>
      </c>
      <c r="C31" s="5" t="inlineStr">
        <is>
          <t>会员</t>
        </is>
      </c>
      <c r="D31" s="6" t="inlineStr">
        <is>
          <t>邀请记录</t>
        </is>
      </c>
      <c r="E31" s="9" t="inlineStr">
        <is>
          <t>P2</t>
        </is>
      </c>
      <c r="F31" s="6" t="inlineStr">
        <is>
          <t>自研</t>
        </is>
      </c>
      <c r="G31" s="6" t="inlineStr">
        <is>
          <t>—</t>
        </is>
      </c>
      <c r="H31" s="5" t="inlineStr">
        <is>
          <t>M8·P2</t>
        </is>
      </c>
      <c r="I31" s="5" t="inlineStr">
        <is>
          <t>M</t>
        </is>
      </c>
      <c r="J31" s="5" t="inlineStr">
        <is>
          <t>未开始</t>
        </is>
      </c>
      <c r="K31" s="5" t="inlineStr"/>
      <c r="L31" s="5" t="inlineStr"/>
      <c r="M31" s="6" t="inlineStr">
        <is>
          <t>依赖邀请/分销体系设计</t>
        </is>
      </c>
    </row>
    <row r="32">
      <c r="A32" s="5" t="inlineStr">
        <is>
          <t>A-31</t>
        </is>
      </c>
      <c r="B32" s="5" t="inlineStr">
        <is>
          <t>A·后台</t>
        </is>
      </c>
      <c r="C32" s="5" t="inlineStr">
        <is>
          <t>骑手</t>
        </is>
      </c>
      <c r="D32" s="6" t="inlineStr">
        <is>
          <t>骑手入驻申请</t>
        </is>
      </c>
      <c r="E32" s="9" t="inlineStr">
        <is>
          <t>P2</t>
        </is>
      </c>
      <c r="F32" s="6" t="inlineStr">
        <is>
          <t>自研</t>
        </is>
      </c>
      <c r="G32" s="6" t="inlineStr">
        <is>
          <t>FlashWaimai（骑手流转概念）</t>
        </is>
      </c>
      <c r="H32" s="5" t="inlineStr">
        <is>
          <t>M7·P2</t>
        </is>
      </c>
      <c r="I32" s="5" t="inlineStr">
        <is>
          <t>M</t>
        </is>
      </c>
      <c r="J32" s="5" t="inlineStr">
        <is>
          <t>未开始</t>
        </is>
      </c>
      <c r="K32" s="5" t="inlineStr"/>
      <c r="L32" s="5" t="inlineStr"/>
      <c r="M32" s="6" t="inlineStr">
        <is>
          <t>资质脱敏存储</t>
        </is>
      </c>
    </row>
    <row r="33">
      <c r="A33" s="5" t="inlineStr">
        <is>
          <t>A-32</t>
        </is>
      </c>
      <c r="B33" s="5" t="inlineStr">
        <is>
          <t>A·后台</t>
        </is>
      </c>
      <c r="C33" s="5" t="inlineStr">
        <is>
          <t>骑手</t>
        </is>
      </c>
      <c r="D33" s="6" t="inlineStr">
        <is>
          <t>骑手管理</t>
        </is>
      </c>
      <c r="E33" s="9" t="inlineStr">
        <is>
          <t>P2</t>
        </is>
      </c>
      <c r="F33" s="6" t="inlineStr">
        <is>
          <t>自研</t>
        </is>
      </c>
      <c r="G33" s="6" t="inlineStr">
        <is>
          <t>—</t>
        </is>
      </c>
      <c r="H33" s="5" t="inlineStr">
        <is>
          <t>M7·P2</t>
        </is>
      </c>
      <c r="I33" s="5" t="inlineStr">
        <is>
          <t>M</t>
        </is>
      </c>
      <c r="J33" s="5" t="inlineStr">
        <is>
          <t>未开始</t>
        </is>
      </c>
      <c r="K33" s="5" t="inlineStr"/>
      <c r="L33" s="5" t="inlineStr"/>
      <c r="M33" s="6" t="inlineStr"/>
    </row>
    <row r="34">
      <c r="A34" s="5" t="inlineStr">
        <is>
          <t>A-33</t>
        </is>
      </c>
      <c r="B34" s="5" t="inlineStr">
        <is>
          <t>A·后台</t>
        </is>
      </c>
      <c r="C34" s="5" t="inlineStr">
        <is>
          <t>骑手</t>
        </is>
      </c>
      <c r="D34" s="6" t="inlineStr">
        <is>
          <t>骑手订单</t>
        </is>
      </c>
      <c r="E34" s="9" t="inlineStr">
        <is>
          <t>P2</t>
        </is>
      </c>
      <c r="F34" s="6" t="inlineStr">
        <is>
          <t>自研</t>
        </is>
      </c>
      <c r="G34" s="6" t="inlineStr">
        <is>
          <t>—</t>
        </is>
      </c>
      <c r="H34" s="5" t="inlineStr">
        <is>
          <t>M7·P2</t>
        </is>
      </c>
      <c r="I34" s="5" t="inlineStr">
        <is>
          <t>L</t>
        </is>
      </c>
      <c r="J34" s="5" t="inlineStr">
        <is>
          <t>未开始</t>
        </is>
      </c>
      <c r="K34" s="5" t="inlineStr"/>
      <c r="L34" s="5" t="inlineStr"/>
      <c r="M34" s="6" t="inlineStr">
        <is>
          <t>取餐→送达状态流 + 轨迹上报</t>
        </is>
      </c>
    </row>
    <row r="35">
      <c r="A35" s="5" t="inlineStr">
        <is>
          <t>A-34</t>
        </is>
      </c>
      <c r="B35" s="5" t="inlineStr">
        <is>
          <t>A·后台</t>
        </is>
      </c>
      <c r="C35" s="5" t="inlineStr">
        <is>
          <t>骑手</t>
        </is>
      </c>
      <c r="D35" s="6" t="inlineStr">
        <is>
          <t>骑手设置</t>
        </is>
      </c>
      <c r="E35" s="9" t="inlineStr">
        <is>
          <t>P2</t>
        </is>
      </c>
      <c r="F35" s="6" t="inlineStr">
        <is>
          <t>自研</t>
        </is>
      </c>
      <c r="G35" s="6" t="inlineStr">
        <is>
          <t>—</t>
        </is>
      </c>
      <c r="H35" s="5" t="inlineStr">
        <is>
          <t>M7·P2</t>
        </is>
      </c>
      <c r="I35" s="5" t="inlineStr">
        <is>
          <t>S</t>
        </is>
      </c>
      <c r="J35" s="5" t="inlineStr">
        <is>
          <t>未开始</t>
        </is>
      </c>
      <c r="K35" s="5" t="inlineStr"/>
      <c r="L35" s="5" t="inlineStr"/>
      <c r="M35" s="6" t="inlineStr"/>
    </row>
    <row r="36">
      <c r="A36" s="5" t="inlineStr">
        <is>
          <t>A-35</t>
        </is>
      </c>
      <c r="B36" s="5" t="inlineStr">
        <is>
          <t>A·后台</t>
        </is>
      </c>
      <c r="C36" s="5" t="inlineStr">
        <is>
          <t>骑手</t>
        </is>
      </c>
      <c r="D36" s="6" t="inlineStr">
        <is>
          <t>骑手退出申请</t>
        </is>
      </c>
      <c r="E36" s="9" t="inlineStr">
        <is>
          <t>P2</t>
        </is>
      </c>
      <c r="F36" s="6" t="inlineStr">
        <is>
          <t>自研</t>
        </is>
      </c>
      <c r="G36" s="6" t="inlineStr">
        <is>
          <t>—</t>
        </is>
      </c>
      <c r="H36" s="5" t="inlineStr">
        <is>
          <t>M7·P2</t>
        </is>
      </c>
      <c r="I36" s="5" t="inlineStr">
        <is>
          <t>S</t>
        </is>
      </c>
      <c r="J36" s="5" t="inlineStr">
        <is>
          <t>未开始</t>
        </is>
      </c>
      <c r="K36" s="5" t="inlineStr"/>
      <c r="L36" s="5" t="inlineStr"/>
      <c r="M36" s="6" t="inlineStr"/>
    </row>
    <row r="37">
      <c r="A37" s="5" t="inlineStr">
        <is>
          <t>A-36</t>
        </is>
      </c>
      <c r="B37" s="5" t="inlineStr">
        <is>
          <t>A·后台</t>
        </is>
      </c>
      <c r="C37" s="5" t="inlineStr">
        <is>
          <t>骑手</t>
        </is>
      </c>
      <c r="D37" s="6" t="inlineStr">
        <is>
          <t>骑手提现管理/提现账户</t>
        </is>
      </c>
      <c r="E37" s="9" t="inlineStr">
        <is>
          <t>P2</t>
        </is>
      </c>
      <c r="F37" s="6" t="inlineStr">
        <is>
          <t>自研</t>
        </is>
      </c>
      <c r="G37" s="6" t="inlineStr">
        <is>
          <t>—</t>
        </is>
      </c>
      <c r="H37" s="5" t="inlineStr">
        <is>
          <t>M8·P2</t>
        </is>
      </c>
      <c r="I37" s="5" t="inlineStr">
        <is>
          <t>L</t>
        </is>
      </c>
      <c r="J37" s="5" t="inlineStr">
        <is>
          <t>未开始</t>
        </is>
      </c>
      <c r="K37" s="5" t="inlineStr"/>
      <c r="L37" s="5" t="inlineStr"/>
      <c r="M37" s="6" t="inlineStr">
        <is>
          <t>依赖 X-08 提现域</t>
        </is>
      </c>
    </row>
    <row r="38">
      <c r="A38" s="5" t="inlineStr">
        <is>
          <t>A-37</t>
        </is>
      </c>
      <c r="B38" s="5" t="inlineStr">
        <is>
          <t>A·后台</t>
        </is>
      </c>
      <c r="C38" s="5" t="inlineStr">
        <is>
          <t>营销</t>
        </is>
      </c>
      <c r="D38" s="6" t="inlineStr">
        <is>
          <t>优惠券管理</t>
        </is>
      </c>
      <c r="E38" s="8" t="inlineStr">
        <is>
          <t>P0</t>
        </is>
      </c>
      <c r="F38" s="6" t="inlineStr">
        <is>
          <t>芋道 promotion + yshop 券字段</t>
        </is>
      </c>
      <c r="G38" s="6" t="inlineStr">
        <is>
          <t>yshop</t>
        </is>
      </c>
      <c r="H38" s="5" t="inlineStr">
        <is>
          <t>M4·P0</t>
        </is>
      </c>
      <c r="I38" s="5" t="inlineStr">
        <is>
          <t>M</t>
        </is>
      </c>
      <c r="J38" s="5" t="inlineStr">
        <is>
          <t>未开始</t>
        </is>
      </c>
      <c r="K38" s="5" t="inlineStr"/>
      <c r="L38" s="5" t="inlineStr"/>
      <c r="M38" s="6" t="inlineStr">
        <is>
          <t>券互斥组、适用门店/品类</t>
        </is>
      </c>
    </row>
    <row r="39">
      <c r="A39" s="5" t="inlineStr">
        <is>
          <t>A-38</t>
        </is>
      </c>
      <c r="B39" s="5" t="inlineStr">
        <is>
          <t>A·后台</t>
        </is>
      </c>
      <c r="C39" s="5" t="inlineStr">
        <is>
          <t>营销</t>
        </is>
      </c>
      <c r="D39" s="6" t="inlineStr">
        <is>
          <t>会员卡功能（购买记录）</t>
        </is>
      </c>
      <c r="E39" s="7" t="inlineStr">
        <is>
          <t>P1</t>
        </is>
      </c>
      <c r="F39" s="6" t="inlineStr">
        <is>
          <t>自研</t>
        </is>
      </c>
      <c r="G39" s="6" t="inlineStr">
        <is>
          <t>—</t>
        </is>
      </c>
      <c r="H39" s="5" t="inlineStr">
        <is>
          <t>M4·P1</t>
        </is>
      </c>
      <c r="I39" s="5" t="inlineStr">
        <is>
          <t>M</t>
        </is>
      </c>
      <c r="J39" s="5" t="inlineStr">
        <is>
          <t>未开始</t>
        </is>
      </c>
      <c r="K39" s="5" t="inlineStr"/>
      <c r="L39" s="5" t="inlineStr"/>
      <c r="M39" s="6" t="inlineStr">
        <is>
          <t>开源无实现；卡片定义/购买/有效期/权益绑定</t>
        </is>
      </c>
    </row>
    <row r="40">
      <c r="A40" s="5" t="inlineStr">
        <is>
          <t>A-39</t>
        </is>
      </c>
      <c r="B40" s="5" t="inlineStr">
        <is>
          <t>A·后台</t>
        </is>
      </c>
      <c r="C40" s="5" t="inlineStr">
        <is>
          <t>营销</t>
        </is>
      </c>
      <c r="D40" s="6" t="inlineStr">
        <is>
          <t>积分商城（产品/广告/分类/订单）</t>
        </is>
      </c>
      <c r="E40" s="7" t="inlineStr">
        <is>
          <t>P1</t>
        </is>
      </c>
      <c r="F40" s="6" t="inlineStr">
        <is>
          <t>yshop score 模块整体移植</t>
        </is>
      </c>
      <c r="G40" s="6" t="inlineStr">
        <is>
          <t>yshop</t>
        </is>
      </c>
      <c r="H40" s="5" t="inlineStr">
        <is>
          <t>M4·P1</t>
        </is>
      </c>
      <c r="I40" s="5" t="inlineStr">
        <is>
          <t>L</t>
        </is>
      </c>
      <c r="J40" s="5" t="inlineStr">
        <is>
          <t>未开始</t>
        </is>
      </c>
      <c r="K40" s="5" t="inlineStr"/>
      <c r="L40" s="5" t="inlineStr"/>
      <c r="M40" s="6" t="inlineStr">
        <is>
          <t>含运费模板三表、实物快递</t>
        </is>
      </c>
    </row>
    <row r="41">
      <c r="A41" s="5" t="inlineStr">
        <is>
          <t>A-40</t>
        </is>
      </c>
      <c r="B41" s="5" t="inlineStr">
        <is>
          <t>A·后台</t>
        </is>
      </c>
      <c r="C41" s="5" t="inlineStr">
        <is>
          <t>统计</t>
        </is>
      </c>
      <c r="D41" s="6" t="inlineStr">
        <is>
          <t>统计（销售/订单/商品）</t>
        </is>
      </c>
      <c r="E41" s="7" t="inlineStr">
        <is>
          <t>P1</t>
        </is>
      </c>
      <c r="F41" s="6" t="inlineStr">
        <is>
          <t>自研（SQL 聚合）</t>
        </is>
      </c>
      <c r="G41" s="6" t="inlineStr">
        <is>
          <t>—</t>
        </is>
      </c>
      <c r="H41" s="5" t="inlineStr">
        <is>
          <t>M8·P1*</t>
        </is>
      </c>
      <c r="I41" s="5" t="inlineStr">
        <is>
          <t>M</t>
        </is>
      </c>
      <c r="J41" s="5" t="inlineStr">
        <is>
          <t>未开始</t>
        </is>
      </c>
      <c r="K41" s="5" t="inlineStr"/>
      <c r="L41" s="5" t="inlineStr"/>
      <c r="M41" s="6" t="inlineStr">
        <is>
          <t>可提前至 P1 末期；商家端数据面板复用</t>
        </is>
      </c>
    </row>
    <row r="42">
      <c r="A42" s="5" t="inlineStr">
        <is>
          <t>A-41</t>
        </is>
      </c>
      <c r="B42" s="5" t="inlineStr">
        <is>
          <t>A·后台</t>
        </is>
      </c>
      <c r="C42" s="5" t="inlineStr">
        <is>
          <t>财务</t>
        </is>
      </c>
      <c r="D42" s="6" t="inlineStr">
        <is>
          <t>财务（提现管理/提现账户/收支明细）</t>
        </is>
      </c>
      <c r="E42" s="9" t="inlineStr">
        <is>
          <t>P2</t>
        </is>
      </c>
      <c r="F42" s="6" t="inlineStr">
        <is>
          <t>自研</t>
        </is>
      </c>
      <c r="G42" s="6" t="inlineStr">
        <is>
          <t>Jeepay（只读：对账设计）</t>
        </is>
      </c>
      <c r="H42" s="5" t="inlineStr">
        <is>
          <t>M8·P2</t>
        </is>
      </c>
      <c r="I42" s="5" t="inlineStr">
        <is>
          <t>XL</t>
        </is>
      </c>
      <c r="J42" s="5" t="inlineStr">
        <is>
          <t>未开始</t>
        </is>
      </c>
      <c r="K42" s="5" t="inlineStr"/>
      <c r="L42" s="5" t="inlineStr"/>
      <c r="M42" s="6" t="inlineStr">
        <is>
          <t>依赖 X-08；商家+骑手双视角</t>
        </is>
      </c>
    </row>
    <row r="43">
      <c r="A43" s="5" t="inlineStr">
        <is>
          <t>A-42</t>
        </is>
      </c>
      <c r="B43" s="5" t="inlineStr">
        <is>
          <t>A·后台</t>
        </is>
      </c>
      <c r="C43" s="5" t="inlineStr">
        <is>
          <t>支付</t>
        </is>
      </c>
      <c r="D43" s="6" t="inlineStr">
        <is>
          <t>支付配置（微信/支付宝）</t>
        </is>
      </c>
      <c r="E43" s="8" t="inlineStr">
        <is>
          <t>P0</t>
        </is>
      </c>
      <c r="F43" s="6" t="inlineStr">
        <is>
          <t>芋道 pay</t>
        </is>
      </c>
      <c r="G43" s="6" t="inlineStr">
        <is>
          <t>芋道</t>
        </is>
      </c>
      <c r="H43" s="5" t="inlineStr">
        <is>
          <t>M2·P0</t>
        </is>
      </c>
      <c r="I43" s="5" t="inlineStr">
        <is>
          <t>S</t>
        </is>
      </c>
      <c r="J43" s="5" t="inlineStr">
        <is>
          <t>未开始</t>
        </is>
      </c>
      <c r="K43" s="5" t="inlineStr"/>
      <c r="L43" s="5" t="inlineStr"/>
      <c r="M43" s="6" t="inlineStr">
        <is>
          <t>租户级商户参数（普通商户模式）</t>
        </is>
      </c>
    </row>
    <row r="44">
      <c r="A44" s="5" t="inlineStr">
        <is>
          <t>A-43</t>
        </is>
      </c>
      <c r="B44" s="5" t="inlineStr">
        <is>
          <t>A·后台</t>
        </is>
      </c>
      <c r="C44" s="5" t="inlineStr">
        <is>
          <t>快递</t>
        </is>
      </c>
      <c r="D44" s="6" t="inlineStr">
        <is>
          <t>快递公司（快递100）</t>
        </is>
      </c>
      <c r="E44" s="7" t="inlineStr">
        <is>
          <t>P1</t>
        </is>
      </c>
      <c r="F44" s="6" t="inlineStr">
        <is>
          <t>yshop express 移植 + 三方 API</t>
        </is>
      </c>
      <c r="G44" s="6" t="inlineStr">
        <is>
          <t>yshop、快递100</t>
        </is>
      </c>
      <c r="H44" s="5" t="inlineStr">
        <is>
          <t>M4·P1</t>
        </is>
      </c>
      <c r="I44" s="5" t="inlineStr">
        <is>
          <t>S</t>
        </is>
      </c>
      <c r="J44" s="5" t="inlineStr">
        <is>
          <t>未开始</t>
        </is>
      </c>
      <c r="K44" s="5" t="inlineStr"/>
      <c r="L44" s="5" t="inlineStr"/>
      <c r="M44" s="6" t="inlineStr">
        <is>
          <t>服务积分商城实物单</t>
        </is>
      </c>
    </row>
    <row r="45">
      <c r="A45" s="5" t="inlineStr">
        <is>
          <t>A-44</t>
        </is>
      </c>
      <c r="B45" s="5" t="inlineStr">
        <is>
          <t>A·后台</t>
        </is>
      </c>
      <c r="C45" s="5" t="inlineStr">
        <is>
          <t>快递</t>
        </is>
      </c>
      <c r="D45" s="6" t="inlineStr">
        <is>
          <t>同城配送（UU跑腿等）</t>
        </is>
      </c>
      <c r="E45" s="8" t="inlineStr">
        <is>
          <t>P0</t>
        </is>
      </c>
      <c r="F45" s="6" t="inlineStr">
        <is>
          <t>自研（适配器）</t>
        </is>
      </c>
      <c r="G45" s="6" t="inlineStr">
        <is>
          <t>UU跑腿 API</t>
        </is>
      </c>
      <c r="H45" s="5" t="inlineStr">
        <is>
          <t>M2·P0</t>
        </is>
      </c>
      <c r="I45" s="5" t="inlineStr">
        <is>
          <t>L</t>
        </is>
      </c>
      <c r="J45" s="5" t="inlineStr">
        <is>
          <t>未开始</t>
        </is>
      </c>
      <c r="K45" s="5" t="inlineStr"/>
      <c r="L45" s="5" t="inlineStr"/>
      <c r="M45" s="6" t="inlineStr">
        <is>
          <t>原 P1 上调：MVP 外卖依赖；P2 扩展自配送（X-07）</t>
        </is>
      </c>
    </row>
    <row r="46">
      <c r="A46" s="5" t="inlineStr">
        <is>
          <t>A-45</t>
        </is>
      </c>
      <c r="B46" s="5" t="inlineStr">
        <is>
          <t>A·后台</t>
        </is>
      </c>
      <c r="C46" s="5" t="inlineStr">
        <is>
          <t>消息</t>
        </is>
      </c>
      <c r="D46" s="6" t="inlineStr">
        <is>
          <t>微信消息（小程序/公众号模板）</t>
        </is>
      </c>
      <c r="E46" s="7" t="inlineStr">
        <is>
          <t>P1</t>
        </is>
      </c>
      <c r="F46" s="6" t="inlineStr">
        <is>
          <t>芋道 mp + 自研模板</t>
        </is>
      </c>
      <c r="G46" s="6" t="inlineStr">
        <is>
          <t>芋道</t>
        </is>
      </c>
      <c r="H46" s="5" t="inlineStr">
        <is>
          <t>M8·P1*</t>
        </is>
      </c>
      <c r="I46" s="5" t="inlineStr">
        <is>
          <t>M</t>
        </is>
      </c>
      <c r="J46" s="5" t="inlineStr">
        <is>
          <t>未开始</t>
        </is>
      </c>
      <c r="K46" s="5" t="inlineStr"/>
      <c r="L46" s="5" t="inlineStr"/>
      <c r="M46" s="6" t="inlineStr">
        <is>
          <t>订单状态通知；可提前</t>
        </is>
      </c>
    </row>
    <row r="47">
      <c r="A47" s="5" t="inlineStr">
        <is>
          <t>A-46</t>
        </is>
      </c>
      <c r="B47" s="5" t="inlineStr">
        <is>
          <t>A·后台</t>
        </is>
      </c>
      <c r="C47" s="5" t="inlineStr">
        <is>
          <t>微信</t>
        </is>
      </c>
      <c r="D47" s="6" t="inlineStr">
        <is>
          <t>公众号运营管理（账号/数据/标签/粉丝）</t>
        </is>
      </c>
      <c r="E47" s="7" t="inlineStr">
        <is>
          <t>P1</t>
        </is>
      </c>
      <c r="F47" s="6" t="inlineStr">
        <is>
          <t>芋道 mp</t>
        </is>
      </c>
      <c r="G47" s="6" t="inlineStr">
        <is>
          <t>芋道</t>
        </is>
      </c>
      <c r="H47" s="5" t="inlineStr">
        <is>
          <t>M8·P1*</t>
        </is>
      </c>
      <c r="I47" s="5" t="inlineStr">
        <is>
          <t>M</t>
        </is>
      </c>
      <c r="J47" s="5" t="inlineStr">
        <is>
          <t>未开始</t>
        </is>
      </c>
      <c r="K47" s="5" t="inlineStr"/>
      <c r="L47" s="5" t="inlineStr"/>
      <c r="M47" s="6" t="inlineStr">
        <is>
          <t>多公众号原生支持</t>
        </is>
      </c>
    </row>
    <row r="48">
      <c r="A48" s="5" t="inlineStr">
        <is>
          <t>A-47</t>
        </is>
      </c>
      <c r="B48" s="5" t="inlineStr">
        <is>
          <t>A·后台</t>
        </is>
      </c>
      <c r="C48" s="5" t="inlineStr">
        <is>
          <t>微信</t>
        </is>
      </c>
      <c r="D48" s="6" t="inlineStr">
        <is>
          <t>公众号互动（消息/自动回复/菜单/素材/图文）</t>
        </is>
      </c>
      <c r="E48" s="7" t="inlineStr">
        <is>
          <t>P1</t>
        </is>
      </c>
      <c r="F48" s="6" t="inlineStr">
        <is>
          <t>芋道 mp</t>
        </is>
      </c>
      <c r="G48" s="6" t="inlineStr">
        <is>
          <t>芋道</t>
        </is>
      </c>
      <c r="H48" s="5" t="inlineStr">
        <is>
          <t>M8·P1*</t>
        </is>
      </c>
      <c r="I48" s="5" t="inlineStr">
        <is>
          <t>M</t>
        </is>
      </c>
      <c r="J48" s="5" t="inlineStr">
        <is>
          <t>未开始</t>
        </is>
      </c>
      <c r="K48" s="5" t="inlineStr"/>
      <c r="L48" s="5" t="inlineStr"/>
      <c r="M48" s="6" t="inlineStr"/>
    </row>
    <row r="49">
      <c r="A49" s="5" t="inlineStr">
        <is>
          <t>A-48</t>
        </is>
      </c>
      <c r="B49" s="5" t="inlineStr">
        <is>
          <t>A·后台</t>
        </is>
      </c>
      <c r="C49" s="5" t="inlineStr">
        <is>
          <t>基础设施</t>
        </is>
      </c>
      <c r="D49" s="6" t="inlineStr">
        <is>
          <t>代码生成/数据源/表单/接口文档/文件/配置/日志/监控/定时任务</t>
        </is>
      </c>
      <c r="E49" s="8" t="inlineStr">
        <is>
          <t>P0</t>
        </is>
      </c>
      <c r="F49" s="6" t="inlineStr">
        <is>
          <t>芋道 infra</t>
        </is>
      </c>
      <c r="G49" s="6" t="inlineStr">
        <is>
          <t>芋道</t>
        </is>
      </c>
      <c r="H49" s="5" t="inlineStr">
        <is>
          <t>M0·P0</t>
        </is>
      </c>
      <c r="I49" s="5" t="inlineStr">
        <is>
          <t>—</t>
        </is>
      </c>
      <c r="J49" s="5" t="inlineStr">
        <is>
          <t>未开始</t>
        </is>
      </c>
      <c r="K49" s="5" t="inlineStr"/>
      <c r="L49" s="5" t="inlineStr"/>
      <c r="M49" s="6" t="inlineStr">
        <is>
          <t>底座自带，裁剪后验证</t>
        </is>
      </c>
    </row>
    <row r="50">
      <c r="A50" s="5" t="inlineStr">
        <is>
          <t>A-49</t>
        </is>
      </c>
      <c r="B50" s="5" t="inlineStr">
        <is>
          <t>A·后台</t>
        </is>
      </c>
      <c r="C50" s="5" t="inlineStr">
        <is>
          <t>基础设施</t>
        </is>
      </c>
      <c r="D50" s="6" t="inlineStr">
        <is>
          <t>租户管理（租户列表与套餐）</t>
        </is>
      </c>
      <c r="E50" s="8" t="inlineStr">
        <is>
          <t>P0</t>
        </is>
      </c>
      <c r="F50" s="6" t="inlineStr">
        <is>
          <t>芋道 system tenant</t>
        </is>
      </c>
      <c r="G50" s="6" t="inlineStr">
        <is>
          <t>芋道</t>
        </is>
      </c>
      <c r="H50" s="5" t="inlineStr">
        <is>
          <t>M0·P0</t>
        </is>
      </c>
      <c r="I50" s="5" t="inlineStr">
        <is>
          <t>—</t>
        </is>
      </c>
      <c r="J50" s="5" t="inlineStr">
        <is>
          <t>未开始</t>
        </is>
      </c>
      <c r="K50" s="5" t="inlineStr"/>
      <c r="L50" s="5" t="inlineStr"/>
      <c r="M50" s="6" t="inlineStr">
        <is>
          <t>SaaS 根基；M8 再叠 SaaS 计费（X-10）</t>
        </is>
      </c>
    </row>
    <row r="51">
      <c r="A51" s="5" t="inlineStr">
        <is>
          <t>A-50</t>
        </is>
      </c>
      <c r="B51" s="5" t="inlineStr">
        <is>
          <t>A·后台</t>
        </is>
      </c>
      <c r="C51" s="5" t="inlineStr">
        <is>
          <t>系统</t>
        </is>
      </c>
      <c r="D51" s="6" t="inlineStr">
        <is>
          <t>用户/角色/菜单/部门/岗位/字典/公告/审计/OAuth2/短信/邮箱/站内信/错误码/敏感词/地区</t>
        </is>
      </c>
      <c r="E51" s="8" t="inlineStr">
        <is>
          <t>P0</t>
        </is>
      </c>
      <c r="F51" s="6" t="inlineStr">
        <is>
          <t>芋道 system</t>
        </is>
      </c>
      <c r="G51" s="6" t="inlineStr">
        <is>
          <t>芋道</t>
        </is>
      </c>
      <c r="H51" s="5" t="inlineStr">
        <is>
          <t>M0·P0</t>
        </is>
      </c>
      <c r="I51" s="5" t="inlineStr">
        <is>
          <t>—</t>
        </is>
      </c>
      <c r="J51" s="5" t="inlineStr">
        <is>
          <t>未开始</t>
        </is>
      </c>
      <c r="K51" s="5" t="inlineStr"/>
      <c r="L51" s="5" t="inlineStr"/>
      <c r="M51" s="6" t="inlineStr">
        <is>
          <t>底座自带</t>
        </is>
      </c>
    </row>
    <row r="52">
      <c r="A52" s="5" t="inlineStr">
        <is>
          <t>C-01</t>
        </is>
      </c>
      <c r="B52" s="5" t="inlineStr">
        <is>
          <t>C·顾客</t>
        </is>
      </c>
      <c r="C52" s="5" t="inlineStr">
        <is>
          <t>首页</t>
        </is>
      </c>
      <c r="D52" s="6" t="inlineStr">
        <is>
          <t>首页-轮播图</t>
        </is>
      </c>
      <c r="E52" s="8" t="inlineStr">
        <is>
          <t>P0</t>
        </is>
      </c>
      <c r="F52" s="6" t="inlineStr">
        <is>
          <t>自研页面 + yshop 参考</t>
        </is>
      </c>
      <c r="G52" s="6" t="inlineStr">
        <is>
          <t>yshop uniapp</t>
        </is>
      </c>
      <c r="H52" s="5" t="inlineStr">
        <is>
          <t>M2·P0</t>
        </is>
      </c>
      <c r="I52" s="5" t="inlineStr">
        <is>
          <t>S</t>
        </is>
      </c>
      <c r="J52" s="5" t="inlineStr">
        <is>
          <t>未开始</t>
        </is>
      </c>
      <c r="K52" s="5" t="inlineStr"/>
      <c r="L52" s="5" t="inlineStr"/>
      <c r="M52" s="6" t="inlineStr">
        <is>
          <t>依赖 A-08</t>
        </is>
      </c>
    </row>
    <row r="53">
      <c r="A53" s="5" t="inlineStr">
        <is>
          <t>C-02</t>
        </is>
      </c>
      <c r="B53" s="5" t="inlineStr">
        <is>
          <t>C·顾客</t>
        </is>
      </c>
      <c r="C53" s="5" t="inlineStr">
        <is>
          <t>首页</t>
        </is>
      </c>
      <c r="D53" s="6" t="inlineStr">
        <is>
          <t>首页-基本信息展示</t>
        </is>
      </c>
      <c r="E53" s="8" t="inlineStr">
        <is>
          <t>P0</t>
        </is>
      </c>
      <c r="F53" s="6" t="inlineStr">
        <is>
          <t>自研</t>
        </is>
      </c>
      <c r="G53" s="6" t="inlineStr">
        <is>
          <t>yshop</t>
        </is>
      </c>
      <c r="H53" s="5" t="inlineStr">
        <is>
          <t>M2·P0</t>
        </is>
      </c>
      <c r="I53" s="5" t="inlineStr">
        <is>
          <t>S</t>
        </is>
      </c>
      <c r="J53" s="5" t="inlineStr">
        <is>
          <t>未开始</t>
        </is>
      </c>
      <c r="K53" s="5" t="inlineStr"/>
      <c r="L53" s="5" t="inlineStr"/>
      <c r="M53" s="6" t="inlineStr"/>
    </row>
    <row r="54">
      <c r="A54" s="5" t="inlineStr">
        <is>
          <t>C-03</t>
        </is>
      </c>
      <c r="B54" s="5" t="inlineStr">
        <is>
          <t>C·顾客</t>
        </is>
      </c>
      <c r="C54" s="5" t="inlineStr">
        <is>
          <t>首页</t>
        </is>
      </c>
      <c r="D54" s="6" t="inlineStr">
        <is>
          <t>首页-自取/外卖入口</t>
        </is>
      </c>
      <c r="E54" s="8" t="inlineStr">
        <is>
          <t>P0</t>
        </is>
      </c>
      <c r="F54" s="6" t="inlineStr">
        <is>
          <t>自研</t>
        </is>
      </c>
      <c r="G54" s="6" t="inlineStr">
        <is>
          <t>yshop</t>
        </is>
      </c>
      <c r="H54" s="5" t="inlineStr">
        <is>
          <t>M2·P0</t>
        </is>
      </c>
      <c r="I54" s="5" t="inlineStr">
        <is>
          <t>S</t>
        </is>
      </c>
      <c r="J54" s="5" t="inlineStr">
        <is>
          <t>未开始</t>
        </is>
      </c>
      <c r="K54" s="5" t="inlineStr"/>
      <c r="L54" s="5" t="inlineStr"/>
      <c r="M54" s="6" t="inlineStr"/>
    </row>
    <row r="55">
      <c r="A55" s="5" t="inlineStr">
        <is>
          <t>C-04</t>
        </is>
      </c>
      <c r="B55" s="5" t="inlineStr">
        <is>
          <t>C·顾客</t>
        </is>
      </c>
      <c r="C55" s="5" t="inlineStr">
        <is>
          <t>首页</t>
        </is>
      </c>
      <c r="D55" s="6" t="inlineStr">
        <is>
          <t>首页-我的积分入口</t>
        </is>
      </c>
      <c r="E55" s="8" t="inlineStr">
        <is>
          <t>P0</t>
        </is>
      </c>
      <c r="F55" s="6" t="inlineStr">
        <is>
          <t>自研</t>
        </is>
      </c>
      <c r="G55" s="6" t="inlineStr">
        <is>
          <t>yshop</t>
        </is>
      </c>
      <c r="H55" s="5" t="inlineStr">
        <is>
          <t>M2·P0</t>
        </is>
      </c>
      <c r="I55" s="5" t="inlineStr">
        <is>
          <t>S</t>
        </is>
      </c>
      <c r="J55" s="5" t="inlineStr">
        <is>
          <t>未开始</t>
        </is>
      </c>
      <c r="K55" s="5" t="inlineStr"/>
      <c r="L55" s="5" t="inlineStr"/>
      <c r="M55" s="6" t="inlineStr"/>
    </row>
    <row r="56">
      <c r="A56" s="5" t="inlineStr">
        <is>
          <t>C-05</t>
        </is>
      </c>
      <c r="B56" s="5" t="inlineStr">
        <is>
          <t>C·顾客</t>
        </is>
      </c>
      <c r="C56" s="5" t="inlineStr">
        <is>
          <t>首页</t>
        </is>
      </c>
      <c r="D56" s="6" t="inlineStr">
        <is>
          <t>首页-查看门店入口</t>
        </is>
      </c>
      <c r="E56" s="8" t="inlineStr">
        <is>
          <t>P0</t>
        </is>
      </c>
      <c r="F56" s="6" t="inlineStr">
        <is>
          <t>自研</t>
        </is>
      </c>
      <c r="G56" s="6" t="inlineStr">
        <is>
          <t>yshop</t>
        </is>
      </c>
      <c r="H56" s="5" t="inlineStr">
        <is>
          <t>M2·P0</t>
        </is>
      </c>
      <c r="I56" s="5" t="inlineStr">
        <is>
          <t>S</t>
        </is>
      </c>
      <c r="J56" s="5" t="inlineStr">
        <is>
          <t>未开始</t>
        </is>
      </c>
      <c r="K56" s="5" t="inlineStr"/>
      <c r="L56" s="5" t="inlineStr"/>
      <c r="M56" s="6" t="inlineStr"/>
    </row>
    <row r="57">
      <c r="A57" s="5" t="inlineStr">
        <is>
          <t>C-06</t>
        </is>
      </c>
      <c r="B57" s="5" t="inlineStr">
        <is>
          <t>C·顾客</t>
        </is>
      </c>
      <c r="C57" s="5" t="inlineStr">
        <is>
          <t>首页</t>
        </is>
      </c>
      <c r="D57" s="6" t="inlineStr">
        <is>
          <t>首页-领取优惠券入口</t>
        </is>
      </c>
      <c r="E57" s="8" t="inlineStr">
        <is>
          <t>P0</t>
        </is>
      </c>
      <c r="F57" s="6" t="inlineStr">
        <is>
          <t>自研</t>
        </is>
      </c>
      <c r="G57" s="6" t="inlineStr">
        <is>
          <t>yshop</t>
        </is>
      </c>
      <c r="H57" s="5" t="inlineStr">
        <is>
          <t>M2·P0</t>
        </is>
      </c>
      <c r="I57" s="5" t="inlineStr">
        <is>
          <t>S</t>
        </is>
      </c>
      <c r="J57" s="5" t="inlineStr">
        <is>
          <t>未开始</t>
        </is>
      </c>
      <c r="K57" s="5" t="inlineStr"/>
      <c r="L57" s="5" t="inlineStr"/>
      <c r="M57" s="6" t="inlineStr"/>
    </row>
    <row r="58">
      <c r="A58" s="5" t="inlineStr">
        <is>
          <t>C-07</t>
        </is>
      </c>
      <c r="B58" s="5" t="inlineStr">
        <is>
          <t>C·顾客</t>
        </is>
      </c>
      <c r="C58" s="5" t="inlineStr">
        <is>
          <t>首页</t>
        </is>
      </c>
      <c r="D58" s="6" t="inlineStr">
        <is>
          <t>首页-门店距离展示</t>
        </is>
      </c>
      <c r="E58" s="8" t="inlineStr">
        <is>
          <t>P0</t>
        </is>
      </c>
      <c r="F58" s="6" t="inlineStr">
        <is>
          <t>自研 + 三方 SDK</t>
        </is>
      </c>
      <c r="G58" s="6" t="inlineStr">
        <is>
          <t>高德/腾讯定位</t>
        </is>
      </c>
      <c r="H58" s="5" t="inlineStr">
        <is>
          <t>M2·P0</t>
        </is>
      </c>
      <c r="I58" s="5" t="inlineStr">
        <is>
          <t>S</t>
        </is>
      </c>
      <c r="J58" s="5" t="inlineStr">
        <is>
          <t>未开始</t>
        </is>
      </c>
      <c r="K58" s="5" t="inlineStr"/>
      <c r="L58" s="5" t="inlineStr"/>
      <c r="M58" s="6" t="inlineStr"/>
    </row>
    <row r="59">
      <c r="A59" s="5" t="inlineStr">
        <is>
          <t>C-08</t>
        </is>
      </c>
      <c r="B59" s="5" t="inlineStr">
        <is>
          <t>C·顾客</t>
        </is>
      </c>
      <c r="C59" s="5" t="inlineStr">
        <is>
          <t>点餐</t>
        </is>
      </c>
      <c r="D59" s="6" t="inlineStr">
        <is>
          <t>点餐-自取/外卖模式选择</t>
        </is>
      </c>
      <c r="E59" s="8" t="inlineStr">
        <is>
          <t>P0</t>
        </is>
      </c>
      <c r="F59" s="6" t="inlineStr">
        <is>
          <t>自研</t>
        </is>
      </c>
      <c r="G59" s="6" t="inlineStr">
        <is>
          <t>yshop</t>
        </is>
      </c>
      <c r="H59" s="5" t="inlineStr">
        <is>
          <t>M2·P0</t>
        </is>
      </c>
      <c r="I59" s="5" t="inlineStr">
        <is>
          <t>M</t>
        </is>
      </c>
      <c r="J59" s="5" t="inlineStr">
        <is>
          <t>未开始</t>
        </is>
      </c>
      <c r="K59" s="5" t="inlineStr"/>
      <c r="L59" s="5" t="inlineStr"/>
      <c r="M59" s="6" t="inlineStr"/>
    </row>
    <row r="60">
      <c r="A60" s="5" t="inlineStr">
        <is>
          <t>C-09</t>
        </is>
      </c>
      <c r="B60" s="5" t="inlineStr">
        <is>
          <t>C·顾客</t>
        </is>
      </c>
      <c r="C60" s="5" t="inlineStr">
        <is>
          <t>点餐</t>
        </is>
      </c>
      <c r="D60" s="6" t="inlineStr">
        <is>
          <t>点餐-菜品分类</t>
        </is>
      </c>
      <c r="E60" s="8" t="inlineStr">
        <is>
          <t>P0</t>
        </is>
      </c>
      <c r="F60" s="6" t="inlineStr">
        <is>
          <t>自研</t>
        </is>
      </c>
      <c r="G60" s="6" t="inlineStr">
        <is>
          <t>yshop</t>
        </is>
      </c>
      <c r="H60" s="5" t="inlineStr">
        <is>
          <t>M2·P0</t>
        </is>
      </c>
      <c r="I60" s="5" t="inlineStr">
        <is>
          <t>S</t>
        </is>
      </c>
      <c r="J60" s="5" t="inlineStr">
        <is>
          <t>未开始</t>
        </is>
      </c>
      <c r="K60" s="5" t="inlineStr"/>
      <c r="L60" s="5" t="inlineStr"/>
      <c r="M60" s="6" t="inlineStr"/>
    </row>
    <row r="61">
      <c r="A61" s="5" t="inlineStr">
        <is>
          <t>C-10</t>
        </is>
      </c>
      <c r="B61" s="5" t="inlineStr">
        <is>
          <t>C·顾客</t>
        </is>
      </c>
      <c r="C61" s="5" t="inlineStr">
        <is>
          <t>点餐</t>
        </is>
      </c>
      <c r="D61" s="6" t="inlineStr">
        <is>
          <t>点餐-菜品商品列表</t>
        </is>
      </c>
      <c r="E61" s="8" t="inlineStr">
        <is>
          <t>P0</t>
        </is>
      </c>
      <c r="F61" s="6" t="inlineStr">
        <is>
          <t>自研</t>
        </is>
      </c>
      <c r="G61" s="6" t="inlineStr">
        <is>
          <t>yshop</t>
        </is>
      </c>
      <c r="H61" s="5" t="inlineStr">
        <is>
          <t>M2·P0</t>
        </is>
      </c>
      <c r="I61" s="5" t="inlineStr">
        <is>
          <t>M</t>
        </is>
      </c>
      <c r="J61" s="5" t="inlineStr">
        <is>
          <t>未开始</t>
        </is>
      </c>
      <c r="K61" s="5" t="inlineStr"/>
      <c r="L61" s="5" t="inlineStr"/>
      <c r="M61" s="6" t="inlineStr"/>
    </row>
    <row r="62">
      <c r="A62" s="5" t="inlineStr">
        <is>
          <t>C-11</t>
        </is>
      </c>
      <c r="B62" s="5" t="inlineStr">
        <is>
          <t>C·顾客</t>
        </is>
      </c>
      <c r="C62" s="5" t="inlineStr">
        <is>
          <t>点餐</t>
        </is>
      </c>
      <c r="D62" s="6" t="inlineStr">
        <is>
          <t>点餐-加入购物车</t>
        </is>
      </c>
      <c r="E62" s="8" t="inlineStr">
        <is>
          <t>P0</t>
        </is>
      </c>
      <c r="F62" s="6" t="inlineStr">
        <is>
          <t>自研</t>
        </is>
      </c>
      <c r="G62" s="6" t="inlineStr">
        <is>
          <t>yshop</t>
        </is>
      </c>
      <c r="H62" s="5" t="inlineStr">
        <is>
          <t>M2·P0</t>
        </is>
      </c>
      <c r="I62" s="5" t="inlineStr">
        <is>
          <t>M</t>
        </is>
      </c>
      <c r="J62" s="5" t="inlineStr">
        <is>
          <t>未开始</t>
        </is>
      </c>
      <c r="K62" s="5" t="inlineStr"/>
      <c r="L62" s="5" t="inlineStr"/>
      <c r="M62" s="6" t="inlineStr"/>
    </row>
    <row r="63">
      <c r="A63" s="5" t="inlineStr">
        <is>
          <t>C-12</t>
        </is>
      </c>
      <c r="B63" s="5" t="inlineStr">
        <is>
          <t>C·顾客</t>
        </is>
      </c>
      <c r="C63" s="5" t="inlineStr">
        <is>
          <t>点餐</t>
        </is>
      </c>
      <c r="D63" s="6" t="inlineStr">
        <is>
          <t>点餐-查看菜品详情</t>
        </is>
      </c>
      <c r="E63" s="8" t="inlineStr">
        <is>
          <t>P0</t>
        </is>
      </c>
      <c r="F63" s="6" t="inlineStr">
        <is>
          <t>自研</t>
        </is>
      </c>
      <c r="G63" s="6" t="inlineStr">
        <is>
          <t>yshop</t>
        </is>
      </c>
      <c r="H63" s="5" t="inlineStr">
        <is>
          <t>M2·P0</t>
        </is>
      </c>
      <c r="I63" s="5" t="inlineStr">
        <is>
          <t>S</t>
        </is>
      </c>
      <c r="J63" s="5" t="inlineStr">
        <is>
          <t>未开始</t>
        </is>
      </c>
      <c r="K63" s="5" t="inlineStr"/>
      <c r="L63" s="5" t="inlineStr"/>
      <c r="M63" s="6" t="inlineStr"/>
    </row>
    <row r="64">
      <c r="A64" s="5" t="inlineStr">
        <is>
          <t>C-13</t>
        </is>
      </c>
      <c r="B64" s="5" t="inlineStr">
        <is>
          <t>C·顾客</t>
        </is>
      </c>
      <c r="C64" s="5" t="inlineStr">
        <is>
          <t>购物车</t>
        </is>
      </c>
      <c r="D64" s="6" t="inlineStr">
        <is>
          <t>购物车-清除</t>
        </is>
      </c>
      <c r="E64" s="8" t="inlineStr">
        <is>
          <t>P0</t>
        </is>
      </c>
      <c r="F64" s="6" t="inlineStr">
        <is>
          <t>自研</t>
        </is>
      </c>
      <c r="G64" s="6" t="inlineStr">
        <is>
          <t>yshop</t>
        </is>
      </c>
      <c r="H64" s="5" t="inlineStr">
        <is>
          <t>M2·P0</t>
        </is>
      </c>
      <c r="I64" s="5" t="inlineStr">
        <is>
          <t>S</t>
        </is>
      </c>
      <c r="J64" s="5" t="inlineStr">
        <is>
          <t>未开始</t>
        </is>
      </c>
      <c r="K64" s="5" t="inlineStr"/>
      <c r="L64" s="5" t="inlineStr"/>
      <c r="M64" s="6" t="inlineStr"/>
    </row>
    <row r="65">
      <c r="A65" s="5" t="inlineStr">
        <is>
          <t>C-14</t>
        </is>
      </c>
      <c r="B65" s="5" t="inlineStr">
        <is>
          <t>C·顾客</t>
        </is>
      </c>
      <c r="C65" s="5" t="inlineStr">
        <is>
          <t>购物车</t>
        </is>
      </c>
      <c r="D65" s="6" t="inlineStr">
        <is>
          <t>购物车-直接结算</t>
        </is>
      </c>
      <c r="E65" s="8" t="inlineStr">
        <is>
          <t>P0</t>
        </is>
      </c>
      <c r="F65" s="6" t="inlineStr">
        <is>
          <t>自研</t>
        </is>
      </c>
      <c r="G65" s="6" t="inlineStr">
        <is>
          <t>yshop</t>
        </is>
      </c>
      <c r="H65" s="5" t="inlineStr">
        <is>
          <t>M2·P0</t>
        </is>
      </c>
      <c r="I65" s="5" t="inlineStr">
        <is>
          <t>M</t>
        </is>
      </c>
      <c r="J65" s="5" t="inlineStr">
        <is>
          <t>未开始</t>
        </is>
      </c>
      <c r="K65" s="5" t="inlineStr"/>
      <c r="L65" s="5" t="inlineStr"/>
      <c r="M65" s="6" t="inlineStr">
        <is>
          <t>优惠计算走 X-12</t>
        </is>
      </c>
    </row>
    <row r="66">
      <c r="A66" s="5" t="inlineStr">
        <is>
          <t>C-15</t>
        </is>
      </c>
      <c r="B66" s="5" t="inlineStr">
        <is>
          <t>C·顾客</t>
        </is>
      </c>
      <c r="C66" s="5" t="inlineStr">
        <is>
          <t>订单</t>
        </is>
      </c>
      <c r="D66" s="6" t="inlineStr">
        <is>
          <t>订单-查看订单列表</t>
        </is>
      </c>
      <c r="E66" s="8" t="inlineStr">
        <is>
          <t>P0</t>
        </is>
      </c>
      <c r="F66" s="6" t="inlineStr">
        <is>
          <t>自研</t>
        </is>
      </c>
      <c r="G66" s="6" t="inlineStr">
        <is>
          <t>yshop</t>
        </is>
      </c>
      <c r="H66" s="5" t="inlineStr">
        <is>
          <t>M2·P0</t>
        </is>
      </c>
      <c r="I66" s="5" t="inlineStr">
        <is>
          <t>S</t>
        </is>
      </c>
      <c r="J66" s="5" t="inlineStr">
        <is>
          <t>未开始</t>
        </is>
      </c>
      <c r="K66" s="5" t="inlineStr"/>
      <c r="L66" s="5" t="inlineStr"/>
      <c r="M66" s="6" t="inlineStr"/>
    </row>
    <row r="67">
      <c r="A67" s="5" t="inlineStr">
        <is>
          <t>C-16</t>
        </is>
      </c>
      <c r="B67" s="5" t="inlineStr">
        <is>
          <t>C·顾客</t>
        </is>
      </c>
      <c r="C67" s="5" t="inlineStr">
        <is>
          <t>订单</t>
        </is>
      </c>
      <c r="D67" s="6" t="inlineStr">
        <is>
          <t>订单-扫码订单继续加餐</t>
        </is>
      </c>
      <c r="E67" s="8" t="inlineStr">
        <is>
          <t>P0</t>
        </is>
      </c>
      <c r="F67" s="6" t="inlineStr">
        <is>
          <t>自研（并单）</t>
        </is>
      </c>
      <c r="G67" s="6" t="inlineStr">
        <is>
          <t>—</t>
        </is>
      </c>
      <c r="H67" s="5" t="inlineStr">
        <is>
          <t>M2·P0</t>
        </is>
      </c>
      <c r="I67" s="5" t="inlineStr">
        <is>
          <t>L</t>
        </is>
      </c>
      <c r="J67" s="5" t="inlineStr">
        <is>
          <t>未开始</t>
        </is>
      </c>
      <c r="K67" s="5" t="inlineStr"/>
      <c r="L67" s="5" t="inlineStr"/>
      <c r="M67" s="6" t="inlineStr">
        <is>
          <t>同桌订单并单；堂食核心交互</t>
        </is>
      </c>
    </row>
    <row r="68">
      <c r="A68" s="5" t="inlineStr">
        <is>
          <t>C-17</t>
        </is>
      </c>
      <c r="B68" s="5" t="inlineStr">
        <is>
          <t>C·顾客</t>
        </is>
      </c>
      <c r="C68" s="5" t="inlineStr">
        <is>
          <t>订单</t>
        </is>
      </c>
      <c r="D68" s="6" t="inlineStr">
        <is>
          <t>订单-订单详情</t>
        </is>
      </c>
      <c r="E68" s="8" t="inlineStr">
        <is>
          <t>P0</t>
        </is>
      </c>
      <c r="F68" s="6" t="inlineStr">
        <is>
          <t>自研</t>
        </is>
      </c>
      <c r="G68" s="6" t="inlineStr">
        <is>
          <t>yshop</t>
        </is>
      </c>
      <c r="H68" s="5" t="inlineStr">
        <is>
          <t>M2·P0</t>
        </is>
      </c>
      <c r="I68" s="5" t="inlineStr">
        <is>
          <t>S</t>
        </is>
      </c>
      <c r="J68" s="5" t="inlineStr">
        <is>
          <t>未开始</t>
        </is>
      </c>
      <c r="K68" s="5" t="inlineStr"/>
      <c r="L68" s="5" t="inlineStr"/>
      <c r="M68" s="6" t="inlineStr"/>
    </row>
    <row r="69">
      <c r="A69" s="5" t="inlineStr">
        <is>
          <t>C-18</t>
        </is>
      </c>
      <c r="B69" s="5" t="inlineStr">
        <is>
          <t>C·顾客</t>
        </is>
      </c>
      <c r="C69" s="5" t="inlineStr">
        <is>
          <t>订单</t>
        </is>
      </c>
      <c r="D69" s="6" t="inlineStr">
        <is>
          <t>订单-确认收餐</t>
        </is>
      </c>
      <c r="E69" s="8" t="inlineStr">
        <is>
          <t>P0</t>
        </is>
      </c>
      <c r="F69" s="6" t="inlineStr">
        <is>
          <t>自研</t>
        </is>
      </c>
      <c r="G69" s="6" t="inlineStr">
        <is>
          <t>yshop</t>
        </is>
      </c>
      <c r="H69" s="5" t="inlineStr">
        <is>
          <t>M2·P0</t>
        </is>
      </c>
      <c r="I69" s="5" t="inlineStr">
        <is>
          <t>S</t>
        </is>
      </c>
      <c r="J69" s="5" t="inlineStr">
        <is>
          <t>未开始</t>
        </is>
      </c>
      <c r="K69" s="5" t="inlineStr"/>
      <c r="L69" s="5" t="inlineStr"/>
      <c r="M69" s="6" t="inlineStr"/>
    </row>
    <row r="70">
      <c r="A70" s="5" t="inlineStr">
        <is>
          <t>C-19</t>
        </is>
      </c>
      <c r="B70" s="5" t="inlineStr">
        <is>
          <t>C·顾客</t>
        </is>
      </c>
      <c r="C70" s="5" t="inlineStr">
        <is>
          <t>订单</t>
        </is>
      </c>
      <c r="D70" s="6" t="inlineStr">
        <is>
          <t>订单-退款功能</t>
        </is>
      </c>
      <c r="E70" s="8" t="inlineStr">
        <is>
          <t>P0</t>
        </is>
      </c>
      <c r="F70" s="6" t="inlineStr">
        <is>
          <t>自研（原路退回）</t>
        </is>
      </c>
      <c r="G70" s="6" t="inlineStr">
        <is>
          <t>—</t>
        </is>
      </c>
      <c r="H70" s="5" t="inlineStr">
        <is>
          <t>M2·P0</t>
        </is>
      </c>
      <c r="I70" s="5" t="inlineStr">
        <is>
          <t>M</t>
        </is>
      </c>
      <c r="J70" s="5" t="inlineStr">
        <is>
          <t>未开始</t>
        </is>
      </c>
      <c r="K70" s="5" t="inlineStr"/>
      <c r="L70" s="5" t="inlineStr"/>
      <c r="M70" s="6" t="inlineStr">
        <is>
          <t>部分退款按优惠快照分摊（X-12）</t>
        </is>
      </c>
    </row>
    <row r="71">
      <c r="A71" s="5" t="inlineStr">
        <is>
          <t>C-20</t>
        </is>
      </c>
      <c r="B71" s="5" t="inlineStr">
        <is>
          <t>C·顾客</t>
        </is>
      </c>
      <c r="C71" s="5" t="inlineStr">
        <is>
          <t>订单</t>
        </is>
      </c>
      <c r="D71" s="6" t="inlineStr">
        <is>
          <t>支付-微信支付</t>
        </is>
      </c>
      <c r="E71" s="8" t="inlineStr">
        <is>
          <t>P0</t>
        </is>
      </c>
      <c r="F71" s="6" t="inlineStr">
        <is>
          <t>芋道 pay</t>
        </is>
      </c>
      <c r="G71" s="6" t="inlineStr">
        <is>
          <t>芋道</t>
        </is>
      </c>
      <c r="H71" s="5" t="inlineStr">
        <is>
          <t>M2·P0</t>
        </is>
      </c>
      <c r="I71" s="5" t="inlineStr">
        <is>
          <t>M</t>
        </is>
      </c>
      <c r="J71" s="5" t="inlineStr">
        <is>
          <t>未开始</t>
        </is>
      </c>
      <c r="K71" s="5" t="inlineStr"/>
      <c r="L71" s="5" t="inlineStr"/>
      <c r="M71" s="6" t="inlineStr">
        <is>
          <t>JSAPI/小程序支付</t>
        </is>
      </c>
    </row>
    <row r="72">
      <c r="A72" s="5" t="inlineStr">
        <is>
          <t>C-21</t>
        </is>
      </c>
      <c r="B72" s="5" t="inlineStr">
        <is>
          <t>C·顾客</t>
        </is>
      </c>
      <c r="C72" s="5" t="inlineStr">
        <is>
          <t>订单</t>
        </is>
      </c>
      <c r="D72" s="6" t="inlineStr">
        <is>
          <t>支付-支付宝支付</t>
        </is>
      </c>
      <c r="E72" s="8" t="inlineStr">
        <is>
          <t>P0</t>
        </is>
      </c>
      <c r="F72" s="6" t="inlineStr">
        <is>
          <t>芋道 pay</t>
        </is>
      </c>
      <c r="G72" s="6" t="inlineStr">
        <is>
          <t>芋道</t>
        </is>
      </c>
      <c r="H72" s="5" t="inlineStr">
        <is>
          <t>M2·P0</t>
        </is>
      </c>
      <c r="I72" s="5" t="inlineStr">
        <is>
          <t>M</t>
        </is>
      </c>
      <c r="J72" s="5" t="inlineStr">
        <is>
          <t>未开始</t>
        </is>
      </c>
      <c r="K72" s="5" t="inlineStr"/>
      <c r="L72" s="5" t="inlineStr"/>
      <c r="M72" s="6" t="inlineStr"/>
    </row>
    <row r="73">
      <c r="A73" s="5" t="inlineStr">
        <is>
          <t>C-22</t>
        </is>
      </c>
      <c r="B73" s="5" t="inlineStr">
        <is>
          <t>C·顾客</t>
        </is>
      </c>
      <c r="C73" s="5" t="inlineStr">
        <is>
          <t>优惠券</t>
        </is>
      </c>
      <c r="D73" s="6" t="inlineStr">
        <is>
          <t>优惠券-领取</t>
        </is>
      </c>
      <c r="E73" s="8" t="inlineStr">
        <is>
          <t>P0</t>
        </is>
      </c>
      <c r="F73" s="6" t="inlineStr">
        <is>
          <t>芋道 promotion</t>
        </is>
      </c>
      <c r="G73" s="6" t="inlineStr">
        <is>
          <t>芋道</t>
        </is>
      </c>
      <c r="H73" s="5" t="inlineStr">
        <is>
          <t>M4·P0</t>
        </is>
      </c>
      <c r="I73" s="5" t="inlineStr">
        <is>
          <t>S</t>
        </is>
      </c>
      <c r="J73" s="5" t="inlineStr">
        <is>
          <t>未开始</t>
        </is>
      </c>
      <c r="K73" s="5" t="inlineStr"/>
      <c r="L73" s="5" t="inlineStr"/>
      <c r="M73" s="6" t="inlineStr"/>
    </row>
    <row r="74">
      <c r="A74" s="5" t="inlineStr">
        <is>
          <t>C-23</t>
        </is>
      </c>
      <c r="B74" s="5" t="inlineStr">
        <is>
          <t>C·顾客</t>
        </is>
      </c>
      <c r="C74" s="5" t="inlineStr">
        <is>
          <t>优惠券</t>
        </is>
      </c>
      <c r="D74" s="6" t="inlineStr">
        <is>
          <t>优惠券-我的优惠券</t>
        </is>
      </c>
      <c r="E74" s="8" t="inlineStr">
        <is>
          <t>P0</t>
        </is>
      </c>
      <c r="F74" s="6" t="inlineStr">
        <is>
          <t>芋道 promotion</t>
        </is>
      </c>
      <c r="G74" s="6" t="inlineStr">
        <is>
          <t>芋道</t>
        </is>
      </c>
      <c r="H74" s="5" t="inlineStr">
        <is>
          <t>M4·P0</t>
        </is>
      </c>
      <c r="I74" s="5" t="inlineStr">
        <is>
          <t>S</t>
        </is>
      </c>
      <c r="J74" s="5" t="inlineStr">
        <is>
          <t>未开始</t>
        </is>
      </c>
      <c r="K74" s="5" t="inlineStr"/>
      <c r="L74" s="5" t="inlineStr"/>
      <c r="M74" s="6" t="inlineStr"/>
    </row>
    <row r="75">
      <c r="A75" s="5" t="inlineStr">
        <is>
          <t>C-24</t>
        </is>
      </c>
      <c r="B75" s="5" t="inlineStr">
        <is>
          <t>C·顾客</t>
        </is>
      </c>
      <c r="C75" s="5" t="inlineStr">
        <is>
          <t>用户</t>
        </is>
      </c>
      <c r="D75" s="6" t="inlineStr">
        <is>
          <t>用户-会员卡</t>
        </is>
      </c>
      <c r="E75" s="7" t="inlineStr">
        <is>
          <t>P1</t>
        </is>
      </c>
      <c r="F75" s="6" t="inlineStr">
        <is>
          <t>自研</t>
        </is>
      </c>
      <c r="G75" s="6" t="inlineStr">
        <is>
          <t>—</t>
        </is>
      </c>
      <c r="H75" s="5" t="inlineStr">
        <is>
          <t>M4·P1</t>
        </is>
      </c>
      <c r="I75" s="5" t="inlineStr">
        <is>
          <t>M</t>
        </is>
      </c>
      <c r="J75" s="5" t="inlineStr">
        <is>
          <t>未开始</t>
        </is>
      </c>
      <c r="K75" s="5" t="inlineStr"/>
      <c r="L75" s="5" t="inlineStr"/>
      <c r="M75" s="6" t="inlineStr">
        <is>
          <t>依赖 A-38</t>
        </is>
      </c>
    </row>
    <row r="76">
      <c r="A76" s="5" t="inlineStr">
        <is>
          <t>C-25</t>
        </is>
      </c>
      <c r="B76" s="5" t="inlineStr">
        <is>
          <t>C·顾客</t>
        </is>
      </c>
      <c r="C76" s="5" t="inlineStr">
        <is>
          <t>用户</t>
        </is>
      </c>
      <c r="D76" s="6" t="inlineStr">
        <is>
          <t>用户-地址查看/添加编辑</t>
        </is>
      </c>
      <c r="E76" s="8" t="inlineStr">
        <is>
          <t>P0</t>
        </is>
      </c>
      <c r="F76" s="6" t="inlineStr">
        <is>
          <t>芋道</t>
        </is>
      </c>
      <c r="G76" s="6" t="inlineStr">
        <is>
          <t>芋道</t>
        </is>
      </c>
      <c r="H76" s="5" t="inlineStr">
        <is>
          <t>M2·P0</t>
        </is>
      </c>
      <c r="I76" s="5" t="inlineStr">
        <is>
          <t>S</t>
        </is>
      </c>
      <c r="J76" s="5" t="inlineStr">
        <is>
          <t>未开始</t>
        </is>
      </c>
      <c r="K76" s="5" t="inlineStr"/>
      <c r="L76" s="5" t="inlineStr"/>
      <c r="M76" s="6" t="inlineStr"/>
    </row>
    <row r="77">
      <c r="A77" s="5" t="inlineStr">
        <is>
          <t>C-26</t>
        </is>
      </c>
      <c r="B77" s="5" t="inlineStr">
        <is>
          <t>C·顾客</t>
        </is>
      </c>
      <c r="C77" s="5" t="inlineStr">
        <is>
          <t>用户</t>
        </is>
      </c>
      <c r="D77" s="6" t="inlineStr">
        <is>
          <t>用户-余额充值</t>
        </is>
      </c>
      <c r="E77" s="8" t="inlineStr">
        <is>
          <t>P0</t>
        </is>
      </c>
      <c r="F77" s="6" t="inlineStr">
        <is>
          <t>芋道 wallet + 自研分账</t>
        </is>
      </c>
      <c r="G77" s="6" t="inlineStr">
        <is>
          <t>芋道</t>
        </is>
      </c>
      <c r="H77" s="5" t="inlineStr">
        <is>
          <t>M4·P0</t>
        </is>
      </c>
      <c r="I77" s="5" t="inlineStr">
        <is>
          <t>M</t>
        </is>
      </c>
      <c r="J77" s="5" t="inlineStr">
        <is>
          <t>未开始</t>
        </is>
      </c>
      <c r="K77" s="5" t="inlineStr"/>
      <c r="L77" s="5" t="inlineStr"/>
      <c r="M77" s="6" t="inlineStr">
        <is>
          <t>本金/赠金分账；退款只退本金</t>
        </is>
      </c>
    </row>
    <row r="78">
      <c r="A78" s="5" t="inlineStr">
        <is>
          <t>C-27</t>
        </is>
      </c>
      <c r="B78" s="5" t="inlineStr">
        <is>
          <t>C·顾客</t>
        </is>
      </c>
      <c r="C78" s="5" t="inlineStr">
        <is>
          <t>用户</t>
        </is>
      </c>
      <c r="D78" s="6" t="inlineStr">
        <is>
          <t>用户-历史消费</t>
        </is>
      </c>
      <c r="E78" s="8" t="inlineStr">
        <is>
          <t>P0</t>
        </is>
      </c>
      <c r="F78" s="6" t="inlineStr">
        <is>
          <t>自研</t>
        </is>
      </c>
      <c r="G78" s="6" t="inlineStr">
        <is>
          <t>yshop</t>
        </is>
      </c>
      <c r="H78" s="5" t="inlineStr">
        <is>
          <t>M2·P0</t>
        </is>
      </c>
      <c r="I78" s="5" t="inlineStr">
        <is>
          <t>S</t>
        </is>
      </c>
      <c r="J78" s="5" t="inlineStr">
        <is>
          <t>未开始</t>
        </is>
      </c>
      <c r="K78" s="5" t="inlineStr"/>
      <c r="L78" s="5" t="inlineStr"/>
      <c r="M78" s="6" t="inlineStr"/>
    </row>
    <row r="79">
      <c r="A79" s="5" t="inlineStr">
        <is>
          <t>C-28</t>
        </is>
      </c>
      <c r="B79" s="5" t="inlineStr">
        <is>
          <t>C·顾客</t>
        </is>
      </c>
      <c r="C79" s="5" t="inlineStr">
        <is>
          <t>用户</t>
        </is>
      </c>
      <c r="D79" s="6" t="inlineStr">
        <is>
          <t>用户-联系客服</t>
        </is>
      </c>
      <c r="E79" s="7" t="inlineStr">
        <is>
          <t>P1</t>
        </is>
      </c>
      <c r="F79" s="6" t="inlineStr">
        <is>
          <t>自研（企微/电话）</t>
        </is>
      </c>
      <c r="G79" s="6" t="inlineStr">
        <is>
          <t>—</t>
        </is>
      </c>
      <c r="H79" s="5" t="inlineStr">
        <is>
          <t>M4·P1</t>
        </is>
      </c>
      <c r="I79" s="5" t="inlineStr">
        <is>
          <t>S</t>
        </is>
      </c>
      <c r="J79" s="5" t="inlineStr">
        <is>
          <t>未开始</t>
        </is>
      </c>
      <c r="K79" s="5" t="inlineStr"/>
      <c r="L79" s="5" t="inlineStr"/>
      <c r="M79" s="6" t="inlineStr"/>
    </row>
    <row r="80">
      <c r="A80" s="5" t="inlineStr">
        <is>
          <t>C-29</t>
        </is>
      </c>
      <c r="B80" s="5" t="inlineStr">
        <is>
          <t>C·顾客</t>
        </is>
      </c>
      <c r="C80" s="5" t="inlineStr">
        <is>
          <t>用户</t>
        </is>
      </c>
      <c r="D80" s="6" t="inlineStr">
        <is>
          <t>用户-关于我们/帮助中心</t>
        </is>
      </c>
      <c r="E80" s="7" t="inlineStr">
        <is>
          <t>P1</t>
        </is>
      </c>
      <c r="F80" s="6" t="inlineStr">
        <is>
          <t>自研</t>
        </is>
      </c>
      <c r="G80" s="6" t="inlineStr">
        <is>
          <t>yshop</t>
        </is>
      </c>
      <c r="H80" s="5" t="inlineStr">
        <is>
          <t>M4·P1</t>
        </is>
      </c>
      <c r="I80" s="5" t="inlineStr">
        <is>
          <t>S</t>
        </is>
      </c>
      <c r="J80" s="5" t="inlineStr">
        <is>
          <t>未开始</t>
        </is>
      </c>
      <c r="K80" s="5" t="inlineStr"/>
      <c r="L80" s="5" t="inlineStr"/>
      <c r="M80" s="6" t="inlineStr"/>
    </row>
    <row r="81">
      <c r="A81" s="5" t="inlineStr">
        <is>
          <t>C-30</t>
        </is>
      </c>
      <c r="B81" s="5" t="inlineStr">
        <is>
          <t>C·顾客</t>
        </is>
      </c>
      <c r="C81" s="5" t="inlineStr">
        <is>
          <t>用户</t>
        </is>
      </c>
      <c r="D81" s="6" t="inlineStr">
        <is>
          <t>用户-隐私政策</t>
        </is>
      </c>
      <c r="E81" s="8" t="inlineStr">
        <is>
          <t>P0</t>
        </is>
      </c>
      <c r="F81" s="6" t="inlineStr">
        <is>
          <t>自研（内容页）</t>
        </is>
      </c>
      <c r="G81" s="6" t="inlineStr">
        <is>
          <t>—</t>
        </is>
      </c>
      <c r="H81" s="5" t="inlineStr">
        <is>
          <t>M2·P0</t>
        </is>
      </c>
      <c r="I81" s="5" t="inlineStr">
        <is>
          <t>S</t>
        </is>
      </c>
      <c r="J81" s="5" t="inlineStr">
        <is>
          <t>未开始</t>
        </is>
      </c>
      <c r="K81" s="5" t="inlineStr"/>
      <c r="L81" s="5" t="inlineStr"/>
      <c r="M81" s="6" t="inlineStr">
        <is>
          <t>原 P1 上调：小程序上架审核必需</t>
        </is>
      </c>
    </row>
    <row r="82">
      <c r="A82" s="5" t="inlineStr">
        <is>
          <t>C-31</t>
        </is>
      </c>
      <c r="B82" s="5" t="inlineStr">
        <is>
          <t>C·顾客</t>
        </is>
      </c>
      <c r="C82" s="5" t="inlineStr">
        <is>
          <t>用户</t>
        </is>
      </c>
      <c r="D82" s="6" t="inlineStr">
        <is>
          <t>用户-信息设置</t>
        </is>
      </c>
      <c r="E82" s="7" t="inlineStr">
        <is>
          <t>P1</t>
        </is>
      </c>
      <c r="F82" s="6" t="inlineStr">
        <is>
          <t>自研</t>
        </is>
      </c>
      <c r="G82" s="6" t="inlineStr">
        <is>
          <t>yshop</t>
        </is>
      </c>
      <c r="H82" s="5" t="inlineStr">
        <is>
          <t>M4·P1</t>
        </is>
      </c>
      <c r="I82" s="5" t="inlineStr">
        <is>
          <t>S</t>
        </is>
      </c>
      <c r="J82" s="5" t="inlineStr">
        <is>
          <t>未开始</t>
        </is>
      </c>
      <c r="K82" s="5" t="inlineStr"/>
      <c r="L82" s="5" t="inlineStr"/>
      <c r="M82" s="6" t="inlineStr"/>
    </row>
    <row r="83">
      <c r="A83" s="5" t="inlineStr">
        <is>
          <t>C-32</t>
        </is>
      </c>
      <c r="B83" s="5" t="inlineStr">
        <is>
          <t>C·顾客</t>
        </is>
      </c>
      <c r="C83" s="5" t="inlineStr">
        <is>
          <t>用户</t>
        </is>
      </c>
      <c r="D83" s="6" t="inlineStr">
        <is>
          <t>用户-退出登录</t>
        </is>
      </c>
      <c r="E83" s="8" t="inlineStr">
        <is>
          <t>P0</t>
        </is>
      </c>
      <c r="F83" s="6" t="inlineStr">
        <is>
          <t>自研</t>
        </is>
      </c>
      <c r="G83" s="6" t="inlineStr">
        <is>
          <t>yshop</t>
        </is>
      </c>
      <c r="H83" s="5" t="inlineStr">
        <is>
          <t>M2·P0</t>
        </is>
      </c>
      <c r="I83" s="5" t="inlineStr">
        <is>
          <t>S</t>
        </is>
      </c>
      <c r="J83" s="5" t="inlineStr">
        <is>
          <t>未开始</t>
        </is>
      </c>
      <c r="K83" s="5" t="inlineStr"/>
      <c r="L83" s="5" t="inlineStr"/>
      <c r="M83" s="6" t="inlineStr"/>
    </row>
    <row r="84">
      <c r="A84" s="5" t="inlineStr">
        <is>
          <t>C-33</t>
        </is>
      </c>
      <c r="B84" s="5" t="inlineStr">
        <is>
          <t>C·顾客</t>
        </is>
      </c>
      <c r="C84" s="5" t="inlineStr">
        <is>
          <t>用户</t>
        </is>
      </c>
      <c r="D84" s="6" t="inlineStr">
        <is>
          <t>登录-小程序</t>
        </is>
      </c>
      <c r="E84" s="8" t="inlineStr">
        <is>
          <t>P0</t>
        </is>
      </c>
      <c r="F84" s="6" t="inlineStr">
        <is>
          <t>芋道 social</t>
        </is>
      </c>
      <c r="G84" s="6" t="inlineStr">
        <is>
          <t>芋道</t>
        </is>
      </c>
      <c r="H84" s="5" t="inlineStr">
        <is>
          <t>M2·P0</t>
        </is>
      </c>
      <c r="I84" s="5" t="inlineStr">
        <is>
          <t>M</t>
        </is>
      </c>
      <c r="J84" s="5" t="inlineStr">
        <is>
          <t>未开始</t>
        </is>
      </c>
      <c r="K84" s="5" t="inlineStr"/>
      <c r="L84" s="5" t="inlineStr"/>
      <c r="M84" s="6" t="inlineStr"/>
    </row>
    <row r="85">
      <c r="A85" s="5" t="inlineStr">
        <is>
          <t>C-34</t>
        </is>
      </c>
      <c r="B85" s="5" t="inlineStr">
        <is>
          <t>C·顾客</t>
        </is>
      </c>
      <c r="C85" s="5" t="inlineStr">
        <is>
          <t>用户</t>
        </is>
      </c>
      <c r="D85" s="6" t="inlineStr">
        <is>
          <t>登录-手机号</t>
        </is>
      </c>
      <c r="E85" s="8" t="inlineStr">
        <is>
          <t>P0</t>
        </is>
      </c>
      <c r="F85" s="6" t="inlineStr">
        <is>
          <t>芋道 social</t>
        </is>
      </c>
      <c r="G85" s="6" t="inlineStr">
        <is>
          <t>芋道</t>
        </is>
      </c>
      <c r="H85" s="5" t="inlineStr">
        <is>
          <t>M2·P0</t>
        </is>
      </c>
      <c r="I85" s="5" t="inlineStr">
        <is>
          <t>M</t>
        </is>
      </c>
      <c r="J85" s="5" t="inlineStr">
        <is>
          <t>未开始</t>
        </is>
      </c>
      <c r="K85" s="5" t="inlineStr"/>
      <c r="L85" s="5" t="inlineStr"/>
      <c r="M85" s="6" t="inlineStr"/>
    </row>
    <row r="86">
      <c r="A86" s="5" t="inlineStr">
        <is>
          <t>C-35</t>
        </is>
      </c>
      <c r="B86" s="5" t="inlineStr">
        <is>
          <t>C·顾客</t>
        </is>
      </c>
      <c r="C86" s="5" t="inlineStr">
        <is>
          <t>用户</t>
        </is>
      </c>
      <c r="D86" s="6" t="inlineStr">
        <is>
          <t>登录-公众号</t>
        </is>
      </c>
      <c r="E86" s="7" t="inlineStr">
        <is>
          <t>P1</t>
        </is>
      </c>
      <c r="F86" s="6" t="inlineStr">
        <is>
          <t>芋道 social</t>
        </is>
      </c>
      <c r="G86" s="6" t="inlineStr">
        <is>
          <t>芋道</t>
        </is>
      </c>
      <c r="H86" s="5" t="inlineStr">
        <is>
          <t>M8·P1*</t>
        </is>
      </c>
      <c r="I86" s="5" t="inlineStr">
        <is>
          <t>M</t>
        </is>
      </c>
      <c r="J86" s="5" t="inlineStr">
        <is>
          <t>未开始</t>
        </is>
      </c>
      <c r="K86" s="5" t="inlineStr"/>
      <c r="L86" s="5" t="inlineStr"/>
      <c r="M86" s="6" t="inlineStr">
        <is>
          <t>依赖 A-46</t>
        </is>
      </c>
    </row>
    <row r="87">
      <c r="A87" s="5" t="inlineStr">
        <is>
          <t>C-36</t>
        </is>
      </c>
      <c r="B87" s="5" t="inlineStr">
        <is>
          <t>C·顾客</t>
        </is>
      </c>
      <c r="C87" s="5" t="inlineStr">
        <is>
          <t>积分商城</t>
        </is>
      </c>
      <c r="D87" s="6" t="inlineStr">
        <is>
          <t>积分商城-商品详情/下单/兑换</t>
        </is>
      </c>
      <c r="E87" s="7" t="inlineStr">
        <is>
          <t>P1</t>
        </is>
      </c>
      <c r="F87" s="6" t="inlineStr">
        <is>
          <t>yshop score 移植</t>
        </is>
      </c>
      <c r="G87" s="6" t="inlineStr">
        <is>
          <t>yshop</t>
        </is>
      </c>
      <c r="H87" s="5" t="inlineStr">
        <is>
          <t>M4·P1</t>
        </is>
      </c>
      <c r="I87" s="5" t="inlineStr">
        <is>
          <t>M</t>
        </is>
      </c>
      <c r="J87" s="5" t="inlineStr">
        <is>
          <t>未开始</t>
        </is>
      </c>
      <c r="K87" s="5" t="inlineStr"/>
      <c r="L87" s="5" t="inlineStr"/>
      <c r="M87" s="6" t="inlineStr">
        <is>
          <t>依赖 A-39</t>
        </is>
      </c>
    </row>
    <row r="88">
      <c r="A88" s="5" t="inlineStr">
        <is>
          <t>C-37</t>
        </is>
      </c>
      <c r="B88" s="5" t="inlineStr">
        <is>
          <t>C·顾客</t>
        </is>
      </c>
      <c r="C88" s="5" t="inlineStr">
        <is>
          <t>积分商城</t>
        </is>
      </c>
      <c r="D88" s="6" t="inlineStr">
        <is>
          <t>积分商城-积分订单/查看快递</t>
        </is>
      </c>
      <c r="E88" s="7" t="inlineStr">
        <is>
          <t>P1</t>
        </is>
      </c>
      <c r="F88" s="6" t="inlineStr">
        <is>
          <t>yshop + 快递100</t>
        </is>
      </c>
      <c r="G88" s="6" t="inlineStr">
        <is>
          <t>yshop</t>
        </is>
      </c>
      <c r="H88" s="5" t="inlineStr">
        <is>
          <t>M4·P1</t>
        </is>
      </c>
      <c r="I88" s="5" t="inlineStr">
        <is>
          <t>S</t>
        </is>
      </c>
      <c r="J88" s="5" t="inlineStr">
        <is>
          <t>未开始</t>
        </is>
      </c>
      <c r="K88" s="5" t="inlineStr"/>
      <c r="L88" s="5" t="inlineStr"/>
      <c r="M88" s="6" t="inlineStr"/>
    </row>
    <row r="89">
      <c r="A89" s="5" t="inlineStr">
        <is>
          <t>C-38</t>
        </is>
      </c>
      <c r="B89" s="5" t="inlineStr">
        <is>
          <t>C·顾客</t>
        </is>
      </c>
      <c r="C89" s="5" t="inlineStr">
        <is>
          <t>门店</t>
        </is>
      </c>
      <c r="D89" s="6" t="inlineStr">
        <is>
          <t>门店-查看门店/附近定位</t>
        </is>
      </c>
      <c r="E89" s="8" t="inlineStr">
        <is>
          <t>P0</t>
        </is>
      </c>
      <c r="F89" s="6" t="inlineStr">
        <is>
          <t>自研 + 三方 SDK</t>
        </is>
      </c>
      <c r="G89" s="6" t="inlineStr">
        <is>
          <t>高德/腾讯</t>
        </is>
      </c>
      <c r="H89" s="5" t="inlineStr">
        <is>
          <t>M2·P0</t>
        </is>
      </c>
      <c r="I89" s="5" t="inlineStr">
        <is>
          <t>M</t>
        </is>
      </c>
      <c r="J89" s="5" t="inlineStr">
        <is>
          <t>未开始</t>
        </is>
      </c>
      <c r="K89" s="5" t="inlineStr"/>
      <c r="L89" s="5" t="inlineStr"/>
      <c r="M89" s="6" t="inlineStr"/>
    </row>
    <row r="90">
      <c r="A90" s="5" t="inlineStr">
        <is>
          <t>C-39</t>
        </is>
      </c>
      <c r="B90" s="5" t="inlineStr">
        <is>
          <t>C·顾客</t>
        </is>
      </c>
      <c r="C90" s="5" t="inlineStr">
        <is>
          <t>预约</t>
        </is>
      </c>
      <c r="D90" s="6" t="inlineStr">
        <is>
          <t>预约-桌面预列表/详情</t>
        </is>
      </c>
      <c r="E90" s="7" t="inlineStr">
        <is>
          <t>P1</t>
        </is>
      </c>
      <c r="F90" s="6" t="inlineStr">
        <is>
          <t>自研</t>
        </is>
      </c>
      <c r="G90" s="6" t="inlineStr">
        <is>
          <t>TastyIgniter（只读）</t>
        </is>
      </c>
      <c r="H90" s="5" t="inlineStr">
        <is>
          <t>M6·P1</t>
        </is>
      </c>
      <c r="I90" s="5" t="inlineStr">
        <is>
          <t>M</t>
        </is>
      </c>
      <c r="J90" s="5" t="inlineStr">
        <is>
          <t>未开始</t>
        </is>
      </c>
      <c r="K90" s="5" t="inlineStr"/>
      <c r="L90" s="5" t="inlineStr"/>
      <c r="M90" s="6" t="inlineStr">
        <is>
          <t>依赖 A-11/12/13</t>
        </is>
      </c>
    </row>
    <row r="91">
      <c r="A91" s="5" t="inlineStr">
        <is>
          <t>C-40</t>
        </is>
      </c>
      <c r="B91" s="5" t="inlineStr">
        <is>
          <t>C·顾客</t>
        </is>
      </c>
      <c r="C91" s="5" t="inlineStr">
        <is>
          <t>预约</t>
        </is>
      </c>
      <c r="D91" s="6" t="inlineStr">
        <is>
          <t>预约-提交预约/预约订单</t>
        </is>
      </c>
      <c r="E91" s="7" t="inlineStr">
        <is>
          <t>P1</t>
        </is>
      </c>
      <c r="F91" s="6" t="inlineStr">
        <is>
          <t>自研</t>
        </is>
      </c>
      <c r="G91" s="6" t="inlineStr">
        <is>
          <t>—</t>
        </is>
      </c>
      <c r="H91" s="5" t="inlineStr">
        <is>
          <t>M6·P1</t>
        </is>
      </c>
      <c r="I91" s="5" t="inlineStr">
        <is>
          <t>M</t>
        </is>
      </c>
      <c r="J91" s="5" t="inlineStr">
        <is>
          <t>未开始</t>
        </is>
      </c>
      <c r="K91" s="5" t="inlineStr"/>
      <c r="L91" s="5" t="inlineStr"/>
      <c r="M91" s="6" t="inlineStr">
        <is>
          <t>满容量校验</t>
        </is>
      </c>
    </row>
    <row r="92">
      <c r="A92" s="5" t="inlineStr">
        <is>
          <t>C-41</t>
        </is>
      </c>
      <c r="B92" s="5" t="inlineStr">
        <is>
          <t>C·顾客</t>
        </is>
      </c>
      <c r="C92" s="5" t="inlineStr">
        <is>
          <t>桌台扫码</t>
        </is>
      </c>
      <c r="D92" s="6" t="inlineStr">
        <is>
          <t>桌台扫码-单人点餐</t>
        </is>
      </c>
      <c r="E92" s="8" t="inlineStr">
        <is>
          <t>P0</t>
        </is>
      </c>
      <c r="F92" s="6" t="inlineStr">
        <is>
          <t>自研（桌码解析）</t>
        </is>
      </c>
      <c r="G92" s="6" t="inlineStr">
        <is>
          <t>—</t>
        </is>
      </c>
      <c r="H92" s="5" t="inlineStr">
        <is>
          <t>M2·P0</t>
        </is>
      </c>
      <c r="I92" s="5" t="inlineStr">
        <is>
          <t>M</t>
        </is>
      </c>
      <c r="J92" s="5" t="inlineStr">
        <is>
          <t>未开始</t>
        </is>
      </c>
      <c r="K92" s="5" t="inlineStr"/>
      <c r="L92" s="5" t="inlineStr"/>
      <c r="M92" s="6" t="inlineStr">
        <is>
          <t>依赖 A-05</t>
        </is>
      </c>
    </row>
    <row r="93">
      <c r="A93" s="5" t="inlineStr">
        <is>
          <t>C-42</t>
        </is>
      </c>
      <c r="B93" s="5" t="inlineStr">
        <is>
          <t>C·顾客</t>
        </is>
      </c>
      <c r="C93" s="5" t="inlineStr">
        <is>
          <t>桌台扫码</t>
        </is>
      </c>
      <c r="D93" s="6" t="inlineStr">
        <is>
          <t>桌台扫码-多人协同点餐</t>
        </is>
      </c>
      <c r="E93" s="7" t="inlineStr">
        <is>
          <t>P1</t>
        </is>
      </c>
      <c r="F93" s="6" t="inlineStr">
        <is>
          <t>自研（前端交互层）</t>
        </is>
      </c>
      <c r="G93" s="6" t="inlineStr">
        <is>
          <t>BiteGo（文档精读）</t>
        </is>
      </c>
      <c r="H93" s="5" t="inlineStr">
        <is>
          <t>M5·P1</t>
        </is>
      </c>
      <c r="I93" s="5" t="inlineStr">
        <is>
          <t>XL</t>
        </is>
      </c>
      <c r="J93" s="5" t="inlineStr">
        <is>
          <t>未开始</t>
        </is>
      </c>
      <c r="K93" s="5" t="inlineStr"/>
      <c r="L93" s="5" t="inlineStr"/>
      <c r="M93" s="6" t="inlineStr">
        <is>
          <t>核心差异化；后端域见 X-13；分单支付</t>
        </is>
      </c>
    </row>
    <row r="94">
      <c r="A94" s="5" t="inlineStr">
        <is>
          <t>S-01</t>
        </is>
      </c>
      <c r="B94" s="5" t="inlineStr">
        <is>
          <t>S·门店端</t>
        </is>
      </c>
      <c r="C94" s="5" t="inlineStr">
        <is>
          <t>工作台</t>
        </is>
      </c>
      <c r="D94" s="6" t="inlineStr">
        <is>
          <t>工作台</t>
        </is>
      </c>
      <c r="E94" s="8" t="inlineStr">
        <is>
          <t>P0</t>
        </is>
      </c>
      <c r="F94" s="6" t="inlineStr">
        <is>
          <t>D8：同后台 + 门店角色权限</t>
        </is>
      </c>
      <c r="G94" s="6" t="inlineStr">
        <is>
          <t>对应 A-02</t>
        </is>
      </c>
      <c r="H94" s="5" t="inlineStr">
        <is>
          <t>M3·P0</t>
        </is>
      </c>
      <c r="I94" s="5" t="inlineStr">
        <is>
          <t>M</t>
        </is>
      </c>
      <c r="J94" s="5" t="inlineStr">
        <is>
          <t>未开始</t>
        </is>
      </c>
      <c r="K94" s="5" t="inlineStr"/>
      <c r="L94" s="5" t="inlineStr"/>
      <c r="M94" s="6" t="inlineStr">
        <is>
          <t>门店角色数据权限</t>
        </is>
      </c>
    </row>
    <row r="95">
      <c r="A95" s="5" t="inlineStr">
        <is>
          <t>S-02</t>
        </is>
      </c>
      <c r="B95" s="5" t="inlineStr">
        <is>
          <t>S·门店端</t>
        </is>
      </c>
      <c r="C95" s="5" t="inlineStr">
        <is>
          <t>收银台</t>
        </is>
      </c>
      <c r="D95" s="6" t="inlineStr">
        <is>
          <t>收银台</t>
        </is>
      </c>
      <c r="E95" s="8" t="inlineStr">
        <is>
          <t>P0</t>
        </is>
      </c>
      <c r="F95" s="6" t="inlineStr">
        <is>
          <t>D8：同后台</t>
        </is>
      </c>
      <c r="G95" s="6" t="inlineStr">
        <is>
          <t>对应 A-03</t>
        </is>
      </c>
      <c r="H95" s="5" t="inlineStr">
        <is>
          <t>M3·P0</t>
        </is>
      </c>
      <c r="I95" s="5" t="inlineStr">
        <is>
          <t>XL</t>
        </is>
      </c>
      <c r="J95" s="5" t="inlineStr">
        <is>
          <t>未开始</t>
        </is>
      </c>
      <c r="K95" s="5" t="inlineStr"/>
      <c r="L95" s="5" t="inlineStr"/>
      <c r="M95" s="6" t="inlineStr"/>
    </row>
    <row r="96">
      <c r="A96" s="5" t="inlineStr">
        <is>
          <t>S-03</t>
        </is>
      </c>
      <c r="B96" s="5" t="inlineStr">
        <is>
          <t>S·门店端</t>
        </is>
      </c>
      <c r="C96" s="5" t="inlineStr">
        <is>
          <t>桌台</t>
        </is>
      </c>
      <c r="D96" s="6" t="inlineStr">
        <is>
          <t>桌台</t>
        </is>
      </c>
      <c r="E96" s="8" t="inlineStr">
        <is>
          <t>P0</t>
        </is>
      </c>
      <c r="F96" s="6" t="inlineStr">
        <is>
          <t>D8：同后台</t>
        </is>
      </c>
      <c r="G96" s="6" t="inlineStr">
        <is>
          <t>对应 A-04</t>
        </is>
      </c>
      <c r="H96" s="5" t="inlineStr">
        <is>
          <t>M3·P0</t>
        </is>
      </c>
      <c r="I96" s="5" t="inlineStr">
        <is>
          <t>M</t>
        </is>
      </c>
      <c r="J96" s="5" t="inlineStr">
        <is>
          <t>未开始</t>
        </is>
      </c>
      <c r="K96" s="5" t="inlineStr"/>
      <c r="L96" s="5" t="inlineStr"/>
      <c r="M96" s="6" t="inlineStr"/>
    </row>
    <row r="97">
      <c r="A97" s="5" t="inlineStr">
        <is>
          <t>S-04</t>
        </is>
      </c>
      <c r="B97" s="5" t="inlineStr">
        <is>
          <t>S·门店端</t>
        </is>
      </c>
      <c r="C97" s="5" t="inlineStr">
        <is>
          <t>门店中心</t>
        </is>
      </c>
      <c r="D97" s="6" t="inlineStr">
        <is>
          <t>桌号/门店/广告图管理</t>
        </is>
      </c>
      <c r="E97" s="8" t="inlineStr">
        <is>
          <t>P0</t>
        </is>
      </c>
      <c r="F97" s="6" t="inlineStr">
        <is>
          <t>D8：同后台</t>
        </is>
      </c>
      <c r="G97" s="6" t="inlineStr">
        <is>
          <t>对应 A-05/A-07/A-08</t>
        </is>
      </c>
      <c r="H97" s="5" t="inlineStr">
        <is>
          <t>M1-M2·P0</t>
        </is>
      </c>
      <c r="I97" s="5" t="inlineStr">
        <is>
          <t>M</t>
        </is>
      </c>
      <c r="J97" s="5" t="inlineStr">
        <is>
          <t>未开始</t>
        </is>
      </c>
      <c r="K97" s="5" t="inlineStr"/>
      <c r="L97" s="5" t="inlineStr"/>
      <c r="M97" s="6" t="inlineStr"/>
    </row>
    <row r="98">
      <c r="A98" s="5" t="inlineStr">
        <is>
          <t>S-05</t>
        </is>
      </c>
      <c r="B98" s="5" t="inlineStr">
        <is>
          <t>S·门店端</t>
        </is>
      </c>
      <c r="C98" s="5" t="inlineStr">
        <is>
          <t>门店中心</t>
        </is>
      </c>
      <c r="D98" s="6" t="inlineStr">
        <is>
          <t>门店收支明细</t>
        </is>
      </c>
      <c r="E98" s="9" t="inlineStr">
        <is>
          <t>P2</t>
        </is>
      </c>
      <c r="F98" s="6" t="inlineStr">
        <is>
          <t>D8：同后台（门店视角）</t>
        </is>
      </c>
      <c r="G98" s="6" t="inlineStr">
        <is>
          <t>对应 A-41</t>
        </is>
      </c>
      <c r="H98" s="5" t="inlineStr">
        <is>
          <t>M8·P2</t>
        </is>
      </c>
      <c r="I98" s="5" t="inlineStr">
        <is>
          <t>M</t>
        </is>
      </c>
      <c r="J98" s="5" t="inlineStr">
        <is>
          <t>未开始</t>
        </is>
      </c>
      <c r="K98" s="5" t="inlineStr"/>
      <c r="L98" s="5" t="inlineStr"/>
      <c r="M98" s="6" t="inlineStr"/>
    </row>
    <row r="99">
      <c r="A99" s="5" t="inlineStr">
        <is>
          <t>S-06</t>
        </is>
      </c>
      <c r="B99" s="5" t="inlineStr">
        <is>
          <t>S·门店端</t>
        </is>
      </c>
      <c r="C99" s="5" t="inlineStr">
        <is>
          <t>门店中心</t>
        </is>
      </c>
      <c r="D99" s="6" t="inlineStr">
        <is>
          <t>提现管理/提现账户</t>
        </is>
      </c>
      <c r="E99" s="9" t="inlineStr">
        <is>
          <t>P2</t>
        </is>
      </c>
      <c r="F99" s="6" t="inlineStr">
        <is>
          <t>D8：同后台</t>
        </is>
      </c>
      <c r="G99" s="6" t="inlineStr">
        <is>
          <t>对应 A-41</t>
        </is>
      </c>
      <c r="H99" s="5" t="inlineStr">
        <is>
          <t>M8·P2</t>
        </is>
      </c>
      <c r="I99" s="5" t="inlineStr">
        <is>
          <t>L</t>
        </is>
      </c>
      <c r="J99" s="5" t="inlineStr">
        <is>
          <t>未开始</t>
        </is>
      </c>
      <c r="K99" s="5" t="inlineStr"/>
      <c r="L99" s="5" t="inlineStr"/>
      <c r="M99" s="6" t="inlineStr"/>
    </row>
    <row r="100">
      <c r="A100" s="5" t="inlineStr">
        <is>
          <t>S-07</t>
        </is>
      </c>
      <c r="B100" s="5" t="inlineStr">
        <is>
          <t>S·门店端</t>
        </is>
      </c>
      <c r="C100" s="5" t="inlineStr">
        <is>
          <t>门店中心</t>
        </is>
      </c>
      <c r="D100" s="6" t="inlineStr">
        <is>
          <t>桌面分类/预约标签/预约规则</t>
        </is>
      </c>
      <c r="E100" s="7" t="inlineStr">
        <is>
          <t>P1</t>
        </is>
      </c>
      <c r="F100" s="6" t="inlineStr">
        <is>
          <t>D8：同后台</t>
        </is>
      </c>
      <c r="G100" s="6" t="inlineStr">
        <is>
          <t>对应 A-11/12/13</t>
        </is>
      </c>
      <c r="H100" s="5" t="inlineStr">
        <is>
          <t>M6·P1</t>
        </is>
      </c>
      <c r="I100" s="5" t="inlineStr">
        <is>
          <t>S</t>
        </is>
      </c>
      <c r="J100" s="5" t="inlineStr">
        <is>
          <t>未开始</t>
        </is>
      </c>
      <c r="K100" s="5" t="inlineStr"/>
      <c r="L100" s="5" t="inlineStr"/>
      <c r="M100" s="6" t="inlineStr"/>
    </row>
    <row r="101">
      <c r="A101" s="5" t="inlineStr">
        <is>
          <t>S-08</t>
        </is>
      </c>
      <c r="B101" s="5" t="inlineStr">
        <is>
          <t>S·门店端</t>
        </is>
      </c>
      <c r="C101" s="5" t="inlineStr">
        <is>
          <t>商品中心</t>
        </is>
      </c>
      <c r="D101" s="6" t="inlineStr">
        <is>
          <t>商品中心（多规格/分类/管理）</t>
        </is>
      </c>
      <c r="E101" s="8" t="inlineStr">
        <is>
          <t>P0</t>
        </is>
      </c>
      <c r="F101" s="6" t="inlineStr">
        <is>
          <t>D8：同后台</t>
        </is>
      </c>
      <c r="G101" s="6" t="inlineStr">
        <is>
          <t>对应 A-14/15/16</t>
        </is>
      </c>
      <c r="H101" s="5" t="inlineStr">
        <is>
          <t>M1·P0</t>
        </is>
      </c>
      <c r="I101" s="5" t="inlineStr">
        <is>
          <t>L</t>
        </is>
      </c>
      <c r="J101" s="5" t="inlineStr">
        <is>
          <t>未开始</t>
        </is>
      </c>
      <c r="K101" s="5" t="inlineStr"/>
      <c r="L101" s="5" t="inlineStr"/>
      <c r="M101" s="6" t="inlineStr"/>
    </row>
    <row r="102">
      <c r="A102" s="5" t="inlineStr">
        <is>
          <t>S-09</t>
        </is>
      </c>
      <c r="B102" s="5" t="inlineStr">
        <is>
          <t>S·门店端</t>
        </is>
      </c>
      <c r="C102" s="5" t="inlineStr">
        <is>
          <t>订单中心</t>
        </is>
      </c>
      <c r="D102" s="6" t="inlineStr">
        <is>
          <t>订单中心（工作台/订单管理）</t>
        </is>
      </c>
      <c r="E102" s="8" t="inlineStr">
        <is>
          <t>P0</t>
        </is>
      </c>
      <c r="F102" s="6" t="inlineStr">
        <is>
          <t>D8：同后台</t>
        </is>
      </c>
      <c r="G102" s="6" t="inlineStr">
        <is>
          <t>对应 A-17~A-21</t>
        </is>
      </c>
      <c r="H102" s="5" t="inlineStr">
        <is>
          <t>M2-M3·P0</t>
        </is>
      </c>
      <c r="I102" s="5" t="inlineStr">
        <is>
          <t>L</t>
        </is>
      </c>
      <c r="J102" s="5" t="inlineStr">
        <is>
          <t>未开始</t>
        </is>
      </c>
      <c r="K102" s="5" t="inlineStr"/>
      <c r="L102" s="5" t="inlineStr"/>
      <c r="M102" s="6" t="inlineStr"/>
    </row>
    <row r="103">
      <c r="A103" s="5" t="inlineStr">
        <is>
          <t>S-10</t>
        </is>
      </c>
      <c r="B103" s="5" t="inlineStr">
        <is>
          <t>S·门店端</t>
        </is>
      </c>
      <c r="C103" s="5" t="inlineStr">
        <is>
          <t>营销中心</t>
        </is>
      </c>
      <c r="D103" s="6" t="inlineStr">
        <is>
          <t>营销中心-优惠券</t>
        </is>
      </c>
      <c r="E103" s="8" t="inlineStr">
        <is>
          <t>P0</t>
        </is>
      </c>
      <c r="F103" s="6" t="inlineStr">
        <is>
          <t>D8：同后台</t>
        </is>
      </c>
      <c r="G103" s="6" t="inlineStr">
        <is>
          <t>对应 A-37</t>
        </is>
      </c>
      <c r="H103" s="5" t="inlineStr">
        <is>
          <t>M4·P0</t>
        </is>
      </c>
      <c r="I103" s="5" t="inlineStr">
        <is>
          <t>M</t>
        </is>
      </c>
      <c r="J103" s="5" t="inlineStr">
        <is>
          <t>未开始</t>
        </is>
      </c>
      <c r="K103" s="5" t="inlineStr"/>
      <c r="L103" s="5" t="inlineStr"/>
      <c r="M103" s="6" t="inlineStr"/>
    </row>
    <row r="104">
      <c r="A104" s="5" t="inlineStr">
        <is>
          <t>S-11</t>
        </is>
      </c>
      <c r="B104" s="5" t="inlineStr">
        <is>
          <t>S·门店端</t>
        </is>
      </c>
      <c r="C104" s="5" t="inlineStr">
        <is>
          <t>权限</t>
        </is>
      </c>
      <c r="D104" s="6" t="inlineStr">
        <is>
          <t>门店角色与数据权限（仅本店可见）</t>
        </is>
      </c>
      <c r="E104" s="8" t="inlineStr">
        <is>
          <t>P0</t>
        </is>
      </c>
      <c r="F104" s="6" t="inlineStr">
        <is>
          <t>芋道 RBAC 数据权限</t>
        </is>
      </c>
      <c r="G104" s="6" t="inlineStr">
        <is>
          <t>芋道</t>
        </is>
      </c>
      <c r="H104" s="5" t="inlineStr">
        <is>
          <t>M1·P0</t>
        </is>
      </c>
      <c r="I104" s="5" t="inlineStr">
        <is>
          <t>M</t>
        </is>
      </c>
      <c r="J104" s="5" t="inlineStr">
        <is>
          <t>未开始</t>
        </is>
      </c>
      <c r="K104" s="5" t="inlineStr"/>
      <c r="L104" s="5" t="inlineStr"/>
      <c r="M104" s="6" t="inlineStr">
        <is>
          <t>D8 核心改造项，独立验收</t>
        </is>
      </c>
    </row>
    <row r="105">
      <c r="A105" s="5" t="inlineStr">
        <is>
          <t>M-01</t>
        </is>
      </c>
      <c r="B105" s="5" t="inlineStr">
        <is>
          <t>M·商家中心</t>
        </is>
      </c>
      <c r="C105" s="5" t="inlineStr">
        <is>
          <t>首页</t>
        </is>
      </c>
      <c r="D105" s="6" t="inlineStr">
        <is>
          <t>商家首页-数据面板</t>
        </is>
      </c>
      <c r="E105" s="7" t="inlineStr">
        <is>
          <t>P1</t>
        </is>
      </c>
      <c r="F105" s="6" t="inlineStr">
        <is>
          <t>自研</t>
        </is>
      </c>
      <c r="G105" s="6" t="inlineStr">
        <is>
          <t>yshop（参考）</t>
        </is>
      </c>
      <c r="H105" s="5" t="inlineStr">
        <is>
          <t>M4·P1</t>
        </is>
      </c>
      <c r="I105" s="5" t="inlineStr">
        <is>
          <t>M</t>
        </is>
      </c>
      <c r="J105" s="5" t="inlineStr">
        <is>
          <t>未开始</t>
        </is>
      </c>
      <c r="K105" s="5" t="inlineStr"/>
      <c r="L105" s="5" t="inlineStr"/>
      <c r="M105" s="6" t="inlineStr">
        <is>
          <t>依赖 A-40 统计接口</t>
        </is>
      </c>
    </row>
    <row r="106">
      <c r="A106" s="5" t="inlineStr">
        <is>
          <t>M-02</t>
        </is>
      </c>
      <c r="B106" s="5" t="inlineStr">
        <is>
          <t>M·商家中心</t>
        </is>
      </c>
      <c r="C106" s="5" t="inlineStr">
        <is>
          <t>桌台</t>
        </is>
      </c>
      <c r="D106" s="6" t="inlineStr">
        <is>
          <t>桌台查看/协助点餐</t>
        </is>
      </c>
      <c r="E106" s="7" t="inlineStr">
        <is>
          <t>P1</t>
        </is>
      </c>
      <c r="F106" s="6" t="inlineStr">
        <is>
          <t>自研</t>
        </is>
      </c>
      <c r="G106" s="6" t="inlineStr">
        <is>
          <t>—</t>
        </is>
      </c>
      <c r="H106" s="5" t="inlineStr">
        <is>
          <t>M4·P1</t>
        </is>
      </c>
      <c r="I106" s="5" t="inlineStr">
        <is>
          <t>M</t>
        </is>
      </c>
      <c r="J106" s="5" t="inlineStr">
        <is>
          <t>未开始</t>
        </is>
      </c>
      <c r="K106" s="5" t="inlineStr"/>
      <c r="L106" s="5" t="inlineStr"/>
      <c r="M106" s="6" t="inlineStr">
        <is>
          <t>依赖 A-04</t>
        </is>
      </c>
    </row>
    <row r="107">
      <c r="A107" s="5" t="inlineStr">
        <is>
          <t>M-03</t>
        </is>
      </c>
      <c r="B107" s="5" t="inlineStr">
        <is>
          <t>M·商家中心</t>
        </is>
      </c>
      <c r="C107" s="5" t="inlineStr">
        <is>
          <t>菜品</t>
        </is>
      </c>
      <c r="D107" s="6" t="inlineStr">
        <is>
          <t>菜品管理（添加/编辑）</t>
        </is>
      </c>
      <c r="E107" s="7" t="inlineStr">
        <is>
          <t>P1</t>
        </is>
      </c>
      <c r="F107" s="6" t="inlineStr">
        <is>
          <t>自研</t>
        </is>
      </c>
      <c r="G107" s="6" t="inlineStr">
        <is>
          <t>—</t>
        </is>
      </c>
      <c r="H107" s="5" t="inlineStr">
        <is>
          <t>M4·P1</t>
        </is>
      </c>
      <c r="I107" s="5" t="inlineStr">
        <is>
          <t>M</t>
        </is>
      </c>
      <c r="J107" s="5" t="inlineStr">
        <is>
          <t>未开始</t>
        </is>
      </c>
      <c r="K107" s="5" t="inlineStr"/>
      <c r="L107" s="5" t="inlineStr"/>
      <c r="M107" s="6" t="inlineStr">
        <is>
          <t>依赖 A-16</t>
        </is>
      </c>
    </row>
    <row r="108">
      <c r="A108" s="5" t="inlineStr">
        <is>
          <t>M-04</t>
        </is>
      </c>
      <c r="B108" s="5" t="inlineStr">
        <is>
          <t>M·商家中心</t>
        </is>
      </c>
      <c r="C108" s="5" t="inlineStr">
        <is>
          <t>订单</t>
        </is>
      </c>
      <c r="D108" s="6" t="inlineStr">
        <is>
          <t>订单管理（实时查看/出单打印/收货）</t>
        </is>
      </c>
      <c r="E108" s="7" t="inlineStr">
        <is>
          <t>P1</t>
        </is>
      </c>
      <c r="F108" s="6" t="inlineStr">
        <is>
          <t>自研</t>
        </is>
      </c>
      <c r="G108" s="6" t="inlineStr">
        <is>
          <t>—</t>
        </is>
      </c>
      <c r="H108" s="5" t="inlineStr">
        <is>
          <t>M4·P1</t>
        </is>
      </c>
      <c r="I108" s="5" t="inlineStr">
        <is>
          <t>L</t>
        </is>
      </c>
      <c r="J108" s="5" t="inlineStr">
        <is>
          <t>未开始</t>
        </is>
      </c>
      <c r="K108" s="5" t="inlineStr"/>
      <c r="L108" s="5" t="inlineStr"/>
      <c r="M108" s="6" t="inlineStr">
        <is>
          <t>依赖 A-06 打印域、A-02 推送</t>
        </is>
      </c>
    </row>
    <row r="109">
      <c r="A109" s="5" t="inlineStr">
        <is>
          <t>M-05</t>
        </is>
      </c>
      <c r="B109" s="5" t="inlineStr">
        <is>
          <t>M·商家中心</t>
        </is>
      </c>
      <c r="C109" s="5" t="inlineStr">
        <is>
          <t>财务</t>
        </is>
      </c>
      <c r="D109" s="6" t="inlineStr">
        <is>
          <t>商家提现</t>
        </is>
      </c>
      <c r="E109" s="9" t="inlineStr">
        <is>
          <t>P2</t>
        </is>
      </c>
      <c r="F109" s="6" t="inlineStr">
        <is>
          <t>自研</t>
        </is>
      </c>
      <c r="G109" s="6" t="inlineStr">
        <is>
          <t>—</t>
        </is>
      </c>
      <c r="H109" s="5" t="inlineStr">
        <is>
          <t>M8·P2</t>
        </is>
      </c>
      <c r="I109" s="5" t="inlineStr">
        <is>
          <t>M</t>
        </is>
      </c>
      <c r="J109" s="5" t="inlineStr">
        <is>
          <t>未开始</t>
        </is>
      </c>
      <c r="K109" s="5" t="inlineStr"/>
      <c r="L109" s="5" t="inlineStr"/>
      <c r="M109" s="6" t="inlineStr">
        <is>
          <t>依赖 X-08</t>
        </is>
      </c>
    </row>
    <row r="110">
      <c r="A110" s="5" t="inlineStr">
        <is>
          <t>M-06</t>
        </is>
      </c>
      <c r="B110" s="5" t="inlineStr">
        <is>
          <t>M·商家中心</t>
        </is>
      </c>
      <c r="C110" s="5" t="inlineStr">
        <is>
          <t>我的</t>
        </is>
      </c>
      <c r="D110" s="6" t="inlineStr">
        <is>
          <t>我的管理（门店信息/银行卡/提现明细）</t>
        </is>
      </c>
      <c r="E110" s="7" t="inlineStr">
        <is>
          <t>P1</t>
        </is>
      </c>
      <c r="F110" s="6" t="inlineStr">
        <is>
          <t>自研</t>
        </is>
      </c>
      <c r="G110" s="6" t="inlineStr">
        <is>
          <t>—</t>
        </is>
      </c>
      <c r="H110" s="5" t="inlineStr">
        <is>
          <t>M4·P1</t>
        </is>
      </c>
      <c r="I110" s="5" t="inlineStr">
        <is>
          <t>S</t>
        </is>
      </c>
      <c r="J110" s="5" t="inlineStr">
        <is>
          <t>未开始</t>
        </is>
      </c>
      <c r="K110" s="5" t="inlineStr"/>
      <c r="L110" s="5" t="inlineStr"/>
      <c r="M110" s="6" t="inlineStr">
        <is>
          <t>银行卡管理部分随 X-08（P2）交付</t>
        </is>
      </c>
    </row>
    <row r="111">
      <c r="A111" s="5" t="inlineStr">
        <is>
          <t>R-01</t>
        </is>
      </c>
      <c r="B111" s="5" t="inlineStr">
        <is>
          <t>R·骑手中心</t>
        </is>
      </c>
      <c r="C111" s="5" t="inlineStr">
        <is>
          <t>首页</t>
        </is>
      </c>
      <c r="D111" s="6" t="inlineStr">
        <is>
          <t>首页数据</t>
        </is>
      </c>
      <c r="E111" s="9" t="inlineStr">
        <is>
          <t>P2</t>
        </is>
      </c>
      <c r="F111" s="6" t="inlineStr">
        <is>
          <t>自研</t>
        </is>
      </c>
      <c r="G111" s="6" t="inlineStr">
        <is>
          <t>—</t>
        </is>
      </c>
      <c r="H111" s="5" t="inlineStr">
        <is>
          <t>M7·P2</t>
        </is>
      </c>
      <c r="I111" s="5" t="inlineStr">
        <is>
          <t>S</t>
        </is>
      </c>
      <c r="J111" s="5" t="inlineStr">
        <is>
          <t>未开始</t>
        </is>
      </c>
      <c r="K111" s="5" t="inlineStr"/>
      <c r="L111" s="5" t="inlineStr"/>
      <c r="M111" s="6" t="inlineStr"/>
    </row>
    <row r="112">
      <c r="A112" s="5" t="inlineStr">
        <is>
          <t>R-02</t>
        </is>
      </c>
      <c r="B112" s="5" t="inlineStr">
        <is>
          <t>R·骑手中心</t>
        </is>
      </c>
      <c r="C112" s="5" t="inlineStr">
        <is>
          <t>接单</t>
        </is>
      </c>
      <c r="D112" s="6" t="inlineStr">
        <is>
          <t>接单大厅</t>
        </is>
      </c>
      <c r="E112" s="9" t="inlineStr">
        <is>
          <t>P2</t>
        </is>
      </c>
      <c r="F112" s="6" t="inlineStr">
        <is>
          <t>自研（抢单/派单双模式）</t>
        </is>
      </c>
      <c r="G112" s="6" t="inlineStr">
        <is>
          <t>FlashWaimai（概念）</t>
        </is>
      </c>
      <c r="H112" s="5" t="inlineStr">
        <is>
          <t>M7·P2</t>
        </is>
      </c>
      <c r="I112" s="5" t="inlineStr">
        <is>
          <t>L</t>
        </is>
      </c>
      <c r="J112" s="5" t="inlineStr">
        <is>
          <t>未开始</t>
        </is>
      </c>
      <c r="K112" s="5" t="inlineStr"/>
      <c r="L112" s="5" t="inlineStr"/>
      <c r="M112" s="6" t="inlineStr">
        <is>
          <t>抢单并发控制</t>
        </is>
      </c>
    </row>
    <row r="113">
      <c r="A113" s="5" t="inlineStr">
        <is>
          <t>R-03</t>
        </is>
      </c>
      <c r="B113" s="5" t="inlineStr">
        <is>
          <t>R·骑手中心</t>
        </is>
      </c>
      <c r="C113" s="5" t="inlineStr">
        <is>
          <t>收入</t>
        </is>
      </c>
      <c r="D113" s="6" t="inlineStr">
        <is>
          <t>收入明细</t>
        </is>
      </c>
      <c r="E113" s="9" t="inlineStr">
        <is>
          <t>P2</t>
        </is>
      </c>
      <c r="F113" s="6" t="inlineStr">
        <is>
          <t>自研</t>
        </is>
      </c>
      <c r="G113" s="6" t="inlineStr">
        <is>
          <t>—</t>
        </is>
      </c>
      <c r="H113" s="5" t="inlineStr">
        <is>
          <t>M7·P2</t>
        </is>
      </c>
      <c r="I113" s="5" t="inlineStr">
        <is>
          <t>S</t>
        </is>
      </c>
      <c r="J113" s="5" t="inlineStr">
        <is>
          <t>未开始</t>
        </is>
      </c>
      <c r="K113" s="5" t="inlineStr"/>
      <c r="L113" s="5" t="inlineStr"/>
      <c r="M113" s="6" t="inlineStr"/>
    </row>
    <row r="114">
      <c r="A114" s="5" t="inlineStr">
        <is>
          <t>R-04</t>
        </is>
      </c>
      <c r="B114" s="5" t="inlineStr">
        <is>
          <t>R·骑手中心</t>
        </is>
      </c>
      <c r="C114" s="5" t="inlineStr">
        <is>
          <t>订单</t>
        </is>
      </c>
      <c r="D114" s="6" t="inlineStr">
        <is>
          <t>历史订单</t>
        </is>
      </c>
      <c r="E114" s="9" t="inlineStr">
        <is>
          <t>P2</t>
        </is>
      </c>
      <c r="F114" s="6" t="inlineStr">
        <is>
          <t>自研</t>
        </is>
      </c>
      <c r="G114" s="6" t="inlineStr">
        <is>
          <t>—</t>
        </is>
      </c>
      <c r="H114" s="5" t="inlineStr">
        <is>
          <t>M7·P2</t>
        </is>
      </c>
      <c r="I114" s="5" t="inlineStr">
        <is>
          <t>S</t>
        </is>
      </c>
      <c r="J114" s="5" t="inlineStr">
        <is>
          <t>未开始</t>
        </is>
      </c>
      <c r="K114" s="5" t="inlineStr"/>
      <c r="L114" s="5" t="inlineStr"/>
      <c r="M114" s="6" t="inlineStr"/>
    </row>
    <row r="115">
      <c r="A115" s="5" t="inlineStr">
        <is>
          <t>R-05</t>
        </is>
      </c>
      <c r="B115" s="5" t="inlineStr">
        <is>
          <t>R·骑手中心</t>
        </is>
      </c>
      <c r="C115" s="5" t="inlineStr">
        <is>
          <t>提现</t>
        </is>
      </c>
      <c r="D115" s="6" t="inlineStr">
        <is>
          <t>提现/提现明细</t>
        </is>
      </c>
      <c r="E115" s="9" t="inlineStr">
        <is>
          <t>P2</t>
        </is>
      </c>
      <c r="F115" s="6" t="inlineStr">
        <is>
          <t>自研</t>
        </is>
      </c>
      <c r="G115" s="6" t="inlineStr">
        <is>
          <t>—</t>
        </is>
      </c>
      <c r="H115" s="5" t="inlineStr">
        <is>
          <t>M8·P2</t>
        </is>
      </c>
      <c r="I115" s="5" t="inlineStr">
        <is>
          <t>M</t>
        </is>
      </c>
      <c r="J115" s="5" t="inlineStr">
        <is>
          <t>未开始</t>
        </is>
      </c>
      <c r="K115" s="5" t="inlineStr"/>
      <c r="L115" s="5" t="inlineStr"/>
      <c r="M115" s="6" t="inlineStr">
        <is>
          <t>依赖 X-08</t>
        </is>
      </c>
    </row>
    <row r="116">
      <c r="A116" s="5" t="inlineStr">
        <is>
          <t>X-01</t>
        </is>
      </c>
      <c r="B116" s="5" t="inlineStr">
        <is>
          <t>X·横切</t>
        </is>
      </c>
      <c r="C116" s="5" t="inlineStr">
        <is>
          <t>合规</t>
        </is>
      </c>
      <c r="D116" s="6" t="inlineStr">
        <is>
          <t>License 合规审计（核验+CI 扫描+NOTICE.md）</t>
        </is>
      </c>
      <c r="E116" s="8" t="inlineStr">
        <is>
          <t>P0</t>
        </is>
      </c>
      <c r="F116" s="6" t="inlineStr">
        <is>
          <t>工具 + 人工</t>
        </is>
      </c>
      <c r="G116" s="6" t="inlineStr">
        <is>
          <t>—</t>
        </is>
      </c>
      <c r="H116" s="5" t="inlineStr">
        <is>
          <t>M0·P0</t>
        </is>
      </c>
      <c r="I116" s="5" t="inlineStr">
        <is>
          <t>M</t>
        </is>
      </c>
      <c r="J116" s="5" t="inlineStr">
        <is>
          <t>已完成</t>
        </is>
      </c>
      <c r="K116" s="5" t="inlineStr">
        <is>
          <t>2026-09-05</t>
        </is>
      </c>
      <c r="L116" s="5" t="inlineStr"/>
      <c r="M116" s="6" t="inlineStr">
        <is>
          <t>核验报告已出；CI 扫描器接入属 X-03</t>
        </is>
      </c>
    </row>
    <row r="117">
      <c r="A117" s="5" t="inlineStr">
        <is>
          <t>X-02</t>
        </is>
      </c>
      <c r="B117" s="5" t="inlineStr">
        <is>
          <t>X·横切</t>
        </is>
      </c>
      <c r="C117" s="5" t="inlineStr">
        <is>
          <t>底座</t>
        </is>
      </c>
      <c r="D117" s="6" t="inlineStr">
        <is>
          <t>jdk25 决策门（构建/issue 扫描/支付沙箱冒烟）</t>
        </is>
      </c>
      <c r="E117" s="8" t="inlineStr">
        <is>
          <t>P0</t>
        </is>
      </c>
      <c r="F117" s="6" t="inlineStr">
        <is>
          <t>验证流程</t>
        </is>
      </c>
      <c r="G117" s="6" t="inlineStr">
        <is>
          <t>—</t>
        </is>
      </c>
      <c r="H117" s="5" t="inlineStr">
        <is>
          <t>M0·P0</t>
        </is>
      </c>
      <c r="I117" s="5" t="inlineStr">
        <is>
          <t>M</t>
        </is>
      </c>
      <c r="J117" s="5" t="inlineStr">
        <is>
          <t>未开始</t>
        </is>
      </c>
      <c r="K117" s="5" t="inlineStr"/>
      <c r="L117" s="5" t="inlineStr"/>
      <c r="M117" s="6" t="inlineStr">
        <is>
          <t>红灯退 master-jdk17；结论落 docs/ADR/</t>
        </is>
      </c>
    </row>
    <row r="118">
      <c r="A118" s="5" t="inlineStr">
        <is>
          <t>X-03</t>
        </is>
      </c>
      <c r="B118" s="5" t="inlineStr">
        <is>
          <t>X·横切</t>
        </is>
      </c>
      <c r="C118" s="5" t="inlineStr">
        <is>
          <t>底座</t>
        </is>
      </c>
      <c r="D118" s="6" t="inlineStr">
        <is>
          <t>底座裁剪 + 工程化（CI/docker-compose/规范）</t>
        </is>
      </c>
      <c r="E118" s="8" t="inlineStr">
        <is>
          <t>P0</t>
        </is>
      </c>
      <c r="F118" s="6" t="inlineStr">
        <is>
          <t>芋道裁剪</t>
        </is>
      </c>
      <c r="G118" s="6" t="inlineStr">
        <is>
          <t>芋道</t>
        </is>
      </c>
      <c r="H118" s="5" t="inlineStr">
        <is>
          <t>M0·P0</t>
        </is>
      </c>
      <c r="I118" s="5" t="inlineStr">
        <is>
          <t>L</t>
        </is>
      </c>
      <c r="J118" s="5" t="inlineStr">
        <is>
          <t>未开始</t>
        </is>
      </c>
      <c r="K118" s="5" t="inlineStr"/>
      <c r="L118" s="5" t="inlineStr"/>
      <c r="M118" s="6" t="inlineStr">
        <is>
          <t>含 license-maven-plugin + license-checker 进 CI</t>
        </is>
      </c>
    </row>
    <row r="119">
      <c r="A119" s="5" t="inlineStr">
        <is>
          <t>X-04</t>
        </is>
      </c>
      <c r="B119" s="5" t="inlineStr">
        <is>
          <t>X·横切</t>
        </is>
      </c>
      <c r="C119" s="5" t="inlineStr">
        <is>
          <t>资质</t>
        </is>
      </c>
      <c r="D119" s="6" t="inlineStr">
        <is>
          <t>微信资质申请（开放平台账号+认证）</t>
        </is>
      </c>
      <c r="E119" s="8" t="inlineStr">
        <is>
          <t>P0</t>
        </is>
      </c>
      <c r="F119" s="6" t="inlineStr">
        <is>
          <t>行政流程</t>
        </is>
      </c>
      <c r="G119" s="6" t="inlineStr">
        <is>
          <t>—</t>
        </is>
      </c>
      <c r="H119" s="5" t="inlineStr">
        <is>
          <t>M0·P0</t>
        </is>
      </c>
      <c r="I119" s="5" t="inlineStr">
        <is>
          <t>—</t>
        </is>
      </c>
      <c r="J119" s="5" t="inlineStr">
        <is>
          <t>未开始</t>
        </is>
      </c>
      <c r="K119" s="5" t="inlineStr"/>
      <c r="L119" s="5" t="inlineStr"/>
      <c r="M119" s="6" t="inlineStr">
        <is>
          <t>周期数周，M0 第一天启动；开发期用自有小程序</t>
        </is>
      </c>
    </row>
    <row r="120">
      <c r="A120" s="5" t="inlineStr">
        <is>
          <t>X-05</t>
        </is>
      </c>
      <c r="B120" s="5" t="inlineStr">
        <is>
          <t>X·横切</t>
        </is>
      </c>
      <c r="C120" s="5" t="inlineStr">
        <is>
          <t>支付</t>
        </is>
      </c>
      <c r="D120" s="6" t="inlineStr">
        <is>
          <t>支付回调幂等（状态机+分布式锁+唯一索引）</t>
        </is>
      </c>
      <c r="E120" s="8" t="inlineStr">
        <is>
          <t>P0</t>
        </is>
      </c>
      <c r="F120" s="6" t="inlineStr">
        <is>
          <t>自研</t>
        </is>
      </c>
      <c r="G120" s="6" t="inlineStr">
        <is>
          <t>Jeepay（只读）</t>
        </is>
      </c>
      <c r="H120" s="5" t="inlineStr">
        <is>
          <t>M2·P0</t>
        </is>
      </c>
      <c r="I120" s="5" t="inlineStr">
        <is>
          <t>L</t>
        </is>
      </c>
      <c r="J120" s="5" t="inlineStr">
        <is>
          <t>未开始</t>
        </is>
      </c>
      <c r="K120" s="5" t="inlineStr"/>
      <c r="L120" s="5" t="inlineStr"/>
      <c r="M120" s="6" t="inlineStr">
        <is>
          <t>三层防重</t>
        </is>
      </c>
    </row>
    <row r="121">
      <c r="A121" s="5" t="inlineStr">
        <is>
          <t>X-06</t>
        </is>
      </c>
      <c r="B121" s="5" t="inlineStr">
        <is>
          <t>X·横切</t>
        </is>
      </c>
      <c r="C121" s="5" t="inlineStr">
        <is>
          <t>库存</t>
        </is>
      </c>
      <c r="D121" s="6" t="inlineStr">
        <is>
          <t>库存防超卖（Redis Lua 预扣+DB 乐观锁）</t>
        </is>
      </c>
      <c r="E121" s="8" t="inlineStr">
        <is>
          <t>P0</t>
        </is>
      </c>
      <c r="F121" s="6" t="inlineStr">
        <is>
          <t>自研</t>
        </is>
      </c>
      <c r="G121" s="6" t="inlineStr">
        <is>
          <t>—</t>
        </is>
      </c>
      <c r="H121" s="5" t="inlineStr">
        <is>
          <t>M2·P0</t>
        </is>
      </c>
      <c r="I121" s="5" t="inlineStr">
        <is>
          <t>M</t>
        </is>
      </c>
      <c r="J121" s="5" t="inlineStr">
        <is>
          <t>未开始</t>
        </is>
      </c>
      <c r="K121" s="5" t="inlineStr"/>
      <c r="L121" s="5" t="inlineStr"/>
      <c r="M121" s="6" t="inlineStr">
        <is>
          <t>估清与库存分离</t>
        </is>
      </c>
    </row>
    <row r="122">
      <c r="A122" s="5" t="inlineStr">
        <is>
          <t>X-07</t>
        </is>
      </c>
      <c r="B122" s="5" t="inlineStr">
        <is>
          <t>X·横切</t>
        </is>
      </c>
      <c r="C122" s="5" t="inlineStr">
        <is>
          <t>配送</t>
        </is>
      </c>
      <c r="D122" s="6" t="inlineStr">
        <is>
          <t>配送调度抽象（DeliveryDispatcher：三方/自配）</t>
        </is>
      </c>
      <c r="E122" s="8" t="inlineStr">
        <is>
          <t>P0</t>
        </is>
      </c>
      <c r="F122" s="6" t="inlineStr">
        <is>
          <t>自研</t>
        </is>
      </c>
      <c r="G122" s="6" t="inlineStr">
        <is>
          <t>UU跑腿 API</t>
        </is>
      </c>
      <c r="H122" s="5" t="inlineStr">
        <is>
          <t>M2→M7</t>
        </is>
      </c>
      <c r="I122" s="5" t="inlineStr">
        <is>
          <t>L</t>
        </is>
      </c>
      <c r="J122" s="5" t="inlineStr">
        <is>
          <t>未开始</t>
        </is>
      </c>
      <c r="K122" s="5" t="inlineStr"/>
      <c r="L122" s="5" t="inlineStr"/>
      <c r="M122" s="6" t="inlineStr">
        <is>
          <t>外卖单按门店配置路由；状态回调归一</t>
        </is>
      </c>
    </row>
    <row r="123">
      <c r="A123" s="5" t="inlineStr">
        <is>
          <t>X-08</t>
        </is>
      </c>
      <c r="B123" s="5" t="inlineStr">
        <is>
          <t>X·横切</t>
        </is>
      </c>
      <c r="C123" s="5" t="inlineStr">
        <is>
          <t>财务</t>
        </is>
      </c>
      <c r="D123" s="6" t="inlineStr">
        <is>
          <t>提现与资金合规域（申请-审核-打款-对账）</t>
        </is>
      </c>
      <c r="E123" s="9" t="inlineStr">
        <is>
          <t>P2</t>
        </is>
      </c>
      <c r="F123" s="6" t="inlineStr">
        <is>
          <t>自研 + 微信商家转账 API</t>
        </is>
      </c>
      <c r="G123" s="6" t="inlineStr">
        <is>
          <t>—</t>
        </is>
      </c>
      <c r="H123" s="5" t="inlineStr">
        <is>
          <t>M8·P2</t>
        </is>
      </c>
      <c r="I123" s="5" t="inlineStr">
        <is>
          <t>XL</t>
        </is>
      </c>
      <c r="J123" s="5" t="inlineStr">
        <is>
          <t>未开始</t>
        </is>
      </c>
      <c r="K123" s="5" t="inlineStr"/>
      <c r="L123" s="5" t="inlineStr"/>
      <c r="M123" s="6" t="inlineStr">
        <is>
          <t>资金合规红线项（计划 R4）</t>
        </is>
      </c>
    </row>
    <row r="124">
      <c r="A124" s="5" t="inlineStr">
        <is>
          <t>X-09</t>
        </is>
      </c>
      <c r="B124" s="5" t="inlineStr">
        <is>
          <t>X·横切</t>
        </is>
      </c>
      <c r="C124" s="5" t="inlineStr">
        <is>
          <t>支付</t>
        </is>
      </c>
      <c r="D124" s="6" t="inlineStr">
        <is>
          <t>每日支付对账</t>
        </is>
      </c>
      <c r="E124" s="8" t="inlineStr">
        <is>
          <t>P0</t>
        </is>
      </c>
      <c r="F124" s="6" t="inlineStr">
        <is>
          <t>自研</t>
        </is>
      </c>
      <c r="G124" s="6" t="inlineStr">
        <is>
          <t>Jeepay（只读）</t>
        </is>
      </c>
      <c r="H124" s="5" t="inlineStr">
        <is>
          <t>M3·P0 起</t>
        </is>
      </c>
      <c r="I124" s="5" t="inlineStr">
        <is>
          <t>L</t>
        </is>
      </c>
      <c r="J124" s="5" t="inlineStr">
        <is>
          <t>未开始</t>
        </is>
      </c>
      <c r="K124" s="5" t="inlineStr"/>
      <c r="L124" s="5" t="inlineStr"/>
      <c r="M124" s="6" t="inlineStr">
        <is>
          <t>差异人工队列</t>
        </is>
      </c>
    </row>
    <row r="125">
      <c r="A125" s="5" t="inlineStr">
        <is>
          <t>X-10</t>
        </is>
      </c>
      <c r="B125" s="5" t="inlineStr">
        <is>
          <t>X·横切</t>
        </is>
      </c>
      <c r="C125" s="5" t="inlineStr">
        <is>
          <t>SaaS</t>
        </is>
      </c>
      <c r="D125" s="6" t="inlineStr">
        <is>
          <t>SaaS 套餐计费（功能开关+配额）</t>
        </is>
      </c>
      <c r="E125" s="9" t="inlineStr">
        <is>
          <t>P2</t>
        </is>
      </c>
      <c r="F125" s="6" t="inlineStr">
        <is>
          <t>自研</t>
        </is>
      </c>
      <c r="G125" s="6" t="inlineStr">
        <is>
          <t>—</t>
        </is>
      </c>
      <c r="H125" s="5" t="inlineStr">
        <is>
          <t>M8·P2</t>
        </is>
      </c>
      <c r="I125" s="5" t="inlineStr">
        <is>
          <t>L</t>
        </is>
      </c>
      <c r="J125" s="5" t="inlineStr">
        <is>
          <t>未开始</t>
        </is>
      </c>
      <c r="K125" s="5" t="inlineStr"/>
      <c r="L125" s="5" t="inlineStr"/>
      <c r="M125" s="6" t="inlineStr">
        <is>
          <t>试用/到期停用</t>
        </is>
      </c>
    </row>
    <row r="126">
      <c r="A126" s="5" t="inlineStr">
        <is>
          <t>X-11</t>
        </is>
      </c>
      <c r="B126" s="5" t="inlineStr">
        <is>
          <t>X·横切</t>
        </is>
      </c>
      <c r="C126" s="5" t="inlineStr">
        <is>
          <t>微信</t>
        </is>
      </c>
      <c r="D126" s="6" t="inlineStr">
        <is>
          <t>微信第三方平台（代小程序授权/上传/发布）</t>
        </is>
      </c>
      <c r="E126" s="9" t="inlineStr">
        <is>
          <t>P2</t>
        </is>
      </c>
      <c r="F126" s="6" t="inlineStr">
        <is>
          <t>自研 + 微信开放平台</t>
        </is>
      </c>
      <c r="G126" s="6" t="inlineStr">
        <is>
          <t>—</t>
        </is>
      </c>
      <c r="H126" s="5" t="inlineStr">
        <is>
          <t>M8·P2</t>
        </is>
      </c>
      <c r="I126" s="5" t="inlineStr">
        <is>
          <t>L</t>
        </is>
      </c>
      <c r="J126" s="5" t="inlineStr">
        <is>
          <t>未开始</t>
        </is>
      </c>
      <c r="K126" s="5" t="inlineStr"/>
      <c r="L126" s="5" t="inlineStr"/>
      <c r="M126" s="6" t="inlineStr">
        <is>
          <t>租户小程序免开发接入；依赖 X-04</t>
        </is>
      </c>
    </row>
    <row r="127">
      <c r="A127" s="5" t="inlineStr">
        <is>
          <t>X-12</t>
        </is>
      </c>
      <c r="B127" s="5" t="inlineStr">
        <is>
          <t>X·横切</t>
        </is>
      </c>
      <c r="C127" s="5" t="inlineStr">
        <is>
          <t>营销</t>
        </is>
      </c>
      <c r="D127" s="6" t="inlineStr">
        <is>
          <t>优惠计算管道 + 快照分摊</t>
        </is>
      </c>
      <c r="E127" s="8" t="inlineStr">
        <is>
          <t>P0</t>
        </is>
      </c>
      <c r="F127" s="6" t="inlineStr">
        <is>
          <t>自研</t>
        </is>
      </c>
      <c r="G127" s="6" t="inlineStr">
        <is>
          <t>—</t>
        </is>
      </c>
      <c r="H127" s="5" t="inlineStr">
        <is>
          <t>M4</t>
        </is>
      </c>
      <c r="I127" s="5" t="inlineStr">
        <is>
          <t>L</t>
        </is>
      </c>
      <c r="J127" s="5" t="inlineStr">
        <is>
          <t>未开始</t>
        </is>
      </c>
      <c r="K127" s="5" t="inlineStr"/>
      <c r="L127" s="5" t="inlineStr"/>
      <c r="M127" s="6" t="inlineStr">
        <is>
          <t>会员价→券→积分→储值；部分退款依赖快照</t>
        </is>
      </c>
    </row>
    <row r="128">
      <c r="A128" s="5" t="inlineStr">
        <is>
          <t>X-13</t>
        </is>
      </c>
      <c r="B128" s="5" t="inlineStr">
        <is>
          <t>X·横切</t>
        </is>
      </c>
      <c r="C128" s="5" t="inlineStr">
        <is>
          <t>协同</t>
        </is>
      </c>
      <c r="D128" s="6" t="inlineStr">
        <is>
          <t>协同会话服务端域（opId 幂等+版本快照+广播）</t>
        </is>
      </c>
      <c r="E128" s="7" t="inlineStr">
        <is>
          <t>P1</t>
        </is>
      </c>
      <c r="F128" s="6" t="inlineStr">
        <is>
          <t>自研（服务端权威）</t>
        </is>
      </c>
      <c r="G128" s="6" t="inlineStr">
        <is>
          <t>BiteGo（文档精读）</t>
        </is>
      </c>
      <c r="H128" s="5" t="inlineStr">
        <is>
          <t>M5·P1</t>
        </is>
      </c>
      <c r="I128" s="5" t="inlineStr">
        <is>
          <t>XL</t>
        </is>
      </c>
      <c r="J128" s="5" t="inlineStr">
        <is>
          <t>未开始</t>
        </is>
      </c>
      <c r="K128" s="5" t="inlineStr"/>
      <c r="L128" s="5" t="inlineStr"/>
      <c r="M128" s="6" t="inlineStr">
        <is>
          <t>与 C-42 配对；断线重连拉全量</t>
        </is>
      </c>
    </row>
  </sheetData>
  <autoFilter ref="A1:M128"/>
  <conditionalFormatting sqref="J2:J128">
    <cfRule type="expression" priority="1" dxfId="0">
      <formula>$J2="进行中"</formula>
    </cfRule>
    <cfRule type="expression" priority="2" dxfId="1">
      <formula>OR($J2="已完成",$J2="已验收")</formula>
    </cfRule>
    <cfRule type="expression" priority="3" dxfId="2">
      <formula>$J2="已取消"</formula>
    </cfRule>
  </conditionalFormatting>
  <dataValidations count="3">
    <dataValidation sqref="E2:E328" showDropDown="0" showInputMessage="0" showErrorMessage="0" allowBlank="1" type="list">
      <formula1>"P0,P1,P2"</formula1>
    </dataValidation>
    <dataValidation sqref="I2:I328" showDropDown="0" showInputMessage="0" showErrorMessage="0" allowBlank="1" type="list">
      <formula1>"S,M,L,XL,—"</formula1>
    </dataValidation>
    <dataValidation sqref="J2:J328" showDropDown="0" showInputMessage="0" showErrorMessage="0" allowBlank="1" type="list">
      <formula1>"未开始,进行中,已完成,已验收,已取消"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0" t="inlineStr">
        <is>
          <t>统计看板（公式实时计算，改『功能清单』状态后自动更新）</t>
        </is>
      </c>
    </row>
    <row r="3">
      <c r="A3" s="11" t="inlineStr">
        <is>
          <t>按状态</t>
        </is>
      </c>
    </row>
    <row r="4">
      <c r="A4" s="12" t="inlineStr">
        <is>
          <t>未开始</t>
        </is>
      </c>
      <c r="B4" s="13">
        <f>COUNTIF('功能清单'!$J:$J,"未开始")</f>
        <v/>
      </c>
    </row>
    <row r="5">
      <c r="A5" s="12" t="inlineStr">
        <is>
          <t>进行中</t>
        </is>
      </c>
      <c r="B5" s="13">
        <f>COUNTIF('功能清单'!$J:$J,"进行中")</f>
        <v/>
      </c>
    </row>
    <row r="6">
      <c r="A6" s="12" t="inlineStr">
        <is>
          <t>已完成</t>
        </is>
      </c>
      <c r="B6" s="13">
        <f>COUNTIF('功能清单'!$J:$J,"已完成")</f>
        <v/>
      </c>
    </row>
    <row r="7">
      <c r="A7" s="12" t="inlineStr">
        <is>
          <t>已验收</t>
        </is>
      </c>
      <c r="B7" s="13">
        <f>COUNTIF('功能清单'!$J:$J,"已验收")</f>
        <v/>
      </c>
    </row>
    <row r="8">
      <c r="A8" s="12" t="inlineStr">
        <is>
          <t>已取消</t>
        </is>
      </c>
      <c r="B8" s="13">
        <f>COUNTIF('功能清单'!$J:$J,"已取消")</f>
        <v/>
      </c>
    </row>
    <row r="9">
      <c r="A9" s="12" t="inlineStr">
        <is>
          <t>总进度（已验收/127）</t>
        </is>
      </c>
      <c r="B9" s="13">
        <f>COUNTIF('功能清单'!$J:$J,"已验收")/127</f>
        <v/>
      </c>
    </row>
    <row r="11">
      <c r="A11" s="11" t="inlineStr">
        <is>
          <t>按端</t>
        </is>
      </c>
    </row>
    <row r="12">
      <c r="A12" s="12" t="inlineStr">
        <is>
          <t>A·后台管理端</t>
        </is>
      </c>
      <c r="B12" s="13">
        <f>COUNTIF('功能清单'!$B:$B,"A·后台")</f>
        <v/>
      </c>
    </row>
    <row r="13">
      <c r="A13" s="12" t="inlineStr">
        <is>
          <t>C·顾客移动端</t>
        </is>
      </c>
      <c r="B13" s="13">
        <f>COUNTIF('功能清单'!$B:$B,"C·顾客")</f>
        <v/>
      </c>
    </row>
    <row r="14">
      <c r="A14" s="12" t="inlineStr">
        <is>
          <t>S·门店端</t>
        </is>
      </c>
      <c r="B14" s="13">
        <f>COUNTIF('功能清单'!$B:$B,"S·门店端")</f>
        <v/>
      </c>
    </row>
    <row r="15">
      <c r="A15" s="12" t="inlineStr">
        <is>
          <t>M·商家中心</t>
        </is>
      </c>
      <c r="B15" s="13">
        <f>COUNTIF('功能清单'!$B:$B,"M·商家中心")</f>
        <v/>
      </c>
    </row>
    <row r="16">
      <c r="A16" s="12" t="inlineStr">
        <is>
          <t>R·骑手中心</t>
        </is>
      </c>
      <c r="B16" s="13">
        <f>COUNTIF('功能清单'!$B:$B,"R·骑手中心")</f>
        <v/>
      </c>
    </row>
    <row r="17">
      <c r="A17" s="12" t="inlineStr">
        <is>
          <t>X·横切技术</t>
        </is>
      </c>
      <c r="B17" s="13">
        <f>COUNTIF('功能清单'!$B:$B,"X·横切")</f>
        <v/>
      </c>
    </row>
    <row r="19">
      <c r="A19" s="11" t="inlineStr">
        <is>
          <t>按重要性</t>
        </is>
      </c>
    </row>
    <row r="20">
      <c r="A20" s="12" t="inlineStr">
        <is>
          <t>P0（MVP 必须）</t>
        </is>
      </c>
      <c r="B20" s="13">
        <f>COUNTIF('功能清单'!$E:$E,"P0")</f>
        <v/>
      </c>
    </row>
    <row r="21">
      <c r="A21" s="12" t="inlineStr">
        <is>
          <t>P1（完整体验）</t>
        </is>
      </c>
      <c r="B21" s="13">
        <f>COUNTIF('功能清单'!$E:$E,"P1")</f>
        <v/>
      </c>
    </row>
    <row r="22">
      <c r="A22" s="12" t="inlineStr">
        <is>
          <t>P2（规模化）</t>
        </is>
      </c>
      <c r="B22" s="13">
        <f>COUNTIF('功能清单'!$E:$E,"P2")</f>
        <v/>
      </c>
    </row>
    <row r="24">
      <c r="A24" s="11" t="inlineStr">
        <is>
          <t>P0 完成度（上线门槛）</t>
        </is>
      </c>
    </row>
    <row r="25">
      <c r="A25" s="12" t="inlineStr">
        <is>
          <t>P0 已验收数</t>
        </is>
      </c>
      <c r="B25" s="13">
        <f>COUNTIFS('功能清单'!$E:$E,"P0",'功能清单'!$J:$J,"已验收")</f>
        <v/>
      </c>
    </row>
    <row r="26">
      <c r="A26" s="12" t="inlineStr">
        <is>
          <t>P0 总数</t>
        </is>
      </c>
      <c r="B26" s="13">
        <f>COUNTIF('功能清单'!$E:$E,"P0")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2026-09-05T04:09:34Z</dcterms:created>
  <dcterms:modified xsi:type="dcterms:W3CDTF">2026-09-05T04:09:34Z</dcterms:modified>
</cp:coreProperties>
</file>