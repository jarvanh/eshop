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功能清单" sheetId="2" state="visible" r:id="rId2"/>
    <sheet name="统计看板" sheetId="3" state="visible" r:id="rId3"/>
  </sheets>
  <definedNames>
    <definedName name="_xlnm._FilterDatabase" localSheetId="1" hidden="1">'功能清单'!$A$1:$N$192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000000"/>
      <sz val="10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1F4E79"/>
      <sz val="14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ont>
        <strike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功能清单与进度跟踪（v1.1 · 2026-09-05）</t>
        </is>
      </c>
    </row>
    <row r="2">
      <c r="A2" s="2" t="inlineStr">
        <is>
          <t>基于原《点餐系统功能清单.xlsx》修改和完善：保留原文件 端/模块/功能/说明 结构与行序，右侧扩展跟踪字段</t>
        </is>
      </c>
    </row>
    <row r="3">
      <c r="A3" s="2" t="inlineStr">
        <is>
          <t>本文件是功能的唯一事实源（做没做/怎么做/谁在做/何时完成）；配套《点餐SaaS-详细实施计划.md》《开源授权核验报告.md》</t>
        </is>
      </c>
    </row>
    <row r="4">
      <c r="A4" s="2" t="inlineStr"/>
    </row>
    <row r="5">
      <c r="A5" s="3" t="inlineStr">
        <is>
          <t>【与原文件的差异（完善内容）】</t>
        </is>
      </c>
    </row>
    <row r="6">
      <c r="A6" s="2" t="inlineStr">
        <is>
          <t>1. 行数：原文件 176 个功能行 → 本表 178 功能行（拆分 1：'扫码点餐'拆为单人 C-01/多人协同 C-02；新增 1：S-19 门店数据权限）+ 横切技术项 13 行 = 191 项</t>
        </is>
      </c>
    </row>
    <row r="7">
      <c r="A7" s="2" t="inlineStr">
        <is>
          <t>2. 笔误修正：外面→外卖、入住申请→入驻申请、管理元→管理员、Java个监控→Java监控、redis监控→Redis监控（原词已在功能名中括号保留）</t>
        </is>
      </c>
    </row>
    <row r="8">
      <c r="A8" s="2" t="inlineStr">
        <is>
          <t>3. 原行41-42 合并单元格（积分商城）拆为 A-40/A-41 两行；原行100 '扫码点餐'（位于后台/移动端分节处）按业务归入顾客端 C-01</t>
        </is>
      </c>
    </row>
    <row r="9">
      <c r="A9" s="2" t="inlineStr">
        <is>
          <t>4. 新增横切技术项（X-01~13）：不属单一端但实施必需的技术域（支付幂等/防超卖/优惠管道/协同域/提现域/对账等）</t>
        </is>
      </c>
    </row>
    <row r="10">
      <c r="A10" s="2" t="inlineStr">
        <is>
          <t>5. ★新增 标记 = 原文件没有、完善时补充的行</t>
        </is>
      </c>
    </row>
    <row r="11">
      <c r="A11" s="2" t="inlineStr"/>
    </row>
    <row r="12">
      <c r="A12" s="3" t="inlineStr">
        <is>
          <t>【字段定义】</t>
        </is>
      </c>
    </row>
    <row r="13">
      <c r="A13" s="2" t="inlineStr">
        <is>
          <t>重要性：P0=MVP 必须（不做无法上线运营）；P1=完整体验（上线后快速跟进）；P2=规模化（商业化阶段）</t>
        </is>
      </c>
    </row>
    <row r="14">
      <c r="A14" s="2" t="inlineStr">
        <is>
          <t>实现方式：芋道=底座直用；yshop移植=从 yshop-drink 开源版移植（MIT 已核验）；自研；三方SDK；D8：同后台=门店端复用后台功能仅做角色收敛</t>
        </is>
      </c>
    </row>
    <row r="15">
      <c r="A15" s="2" t="inlineStr">
        <is>
          <t>参考项目：标注（只读）=协议不允许拷代码仅设计参考；未标注=MIT 可拷（保留版权声明并入 NOTICE.md）</t>
        </is>
      </c>
    </row>
    <row r="16">
      <c r="A16" s="2" t="inlineStr">
        <is>
          <t>阶段：里程碑+分期（如 M2·P0），与计划文档 §5 对应；带 * 可提前</t>
        </is>
      </c>
    </row>
    <row r="17">
      <c r="A17" s="2" t="inlineStr">
        <is>
          <t>复杂度：S=简单（CRUD/页面级）；M=常规（单域）；L=复杂（跨域/状态机/并发）；XL=子系统级；—=底座自带不适用</t>
        </is>
      </c>
    </row>
    <row r="18">
      <c r="A18" s="2" t="inlineStr">
        <is>
          <t>状态：未开始 → 进行中 → 已完成 → 已验收（里程碑验收通过才算已验收）；已取消</t>
        </is>
      </c>
    </row>
    <row r="19">
      <c r="A19" s="2" t="inlineStr">
        <is>
          <t>完成时间：填实际完成/验收日期 YYYY-MM-DD；这是记录字段，不是排期字段（排期看阶段列+计划 §9）</t>
        </is>
      </c>
    </row>
    <row r="20">
      <c r="A20" s="2" t="inlineStr"/>
    </row>
    <row r="21">
      <c r="A21" s="3" t="inlineStr">
        <is>
          <t>【维护规则】</t>
        </is>
      </c>
    </row>
    <row r="22">
      <c r="A22" s="2" t="inlineStr">
        <is>
          <t>1. 每周例会过一遍『进行中』项；里程碑结束批量对账</t>
        </is>
      </c>
    </row>
    <row r="23">
      <c r="A23" s="2" t="inlineStr">
        <is>
          <t>2. 状态只能前进：返工不改回状态，在备注记『YYYY-MM-DD 返工：原因』</t>
        </is>
      </c>
    </row>
    <row r="24">
      <c r="A24" s="2" t="inlineStr">
        <is>
          <t>3. 新增功能追加行（ID 顺延）不删历史；砍掉的功能标『已取消』+备注</t>
        </is>
      </c>
    </row>
    <row r="25">
      <c r="A25" s="2" t="inlineStr">
        <is>
          <t>4. 优先级变更需例会确认并同步计划文档 §2，备注记录原因（已发生：广告图/轮播图 P0、同城配送 P0、隐私政策 P0）</t>
        </is>
      </c>
    </row>
    <row r="26">
      <c r="A26" s="2" t="inlineStr"/>
    </row>
    <row r="27">
      <c r="A27" s="2" t="inlineStr">
        <is>
          <t>【ID 规则】A-xx 后台管理端 · C-xx 顾客端 · M-xx 商家中心 · R-xx 骑手中心 · S-xx 门店端 · X-xx 横切技术项</t>
        </is>
      </c>
    </row>
    <row r="28">
      <c r="A28" s="2" t="inlineStr">
        <is>
          <t>ID 锚定原文件行序（后台 A-01~98 = 原行2-99；顾客 C-03~49 = 原行101-159；商家 M-01~06 = 原行144-149；骑手 R-01~06 = 原行150-155；门店 S-01~19 = 原行160-178）；编号永不复用</t>
        </is>
      </c>
    </row>
    <row r="29">
      <c r="A29" s="2" t="inlineStr"/>
    </row>
    <row r="30">
      <c r="A30" s="2" t="inlineStr">
        <is>
          <t>【P0 上线门槛】A/C/S 端全部 P0 项达『已验收』+ M2/M3/M4-P0 里程碑验收通过（计划 §5.0）</t>
        </is>
      </c>
    </row>
    <row r="31">
      <c r="A31" s="2" t="inlineStr">
        <is>
          <t>【核心域必过单测】X-05 支付幂等 / X-12 优惠管道 / X-13 协同域 / X-08 提现域（计划 §8）</t>
        </is>
      </c>
    </row>
    <row r="32">
      <c r="A32" s="2" t="inlineStr"/>
    </row>
    <row r="33">
      <c r="A33" s="2" t="inlineStr">
        <is>
          <t>【颜色约定】重要性列：红=P0 黄=P1 绿=P2；状态列：蓝=进行中 绿=已完成/已验收 灰=已取消（删除线）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9" customWidth="1" min="3" max="3"/>
    <col width="34" customWidth="1" min="4" max="4"/>
    <col width="30" customWidth="1" min="5" max="5"/>
    <col width="8" customWidth="1" min="6" max="6"/>
    <col width="24" customWidth="1" min="7" max="7"/>
    <col width="30" customWidth="1" min="8" max="8"/>
    <col width="11" customWidth="1" min="9" max="9"/>
    <col width="7" customWidth="1" min="10" max="10"/>
    <col width="8" customWidth="1" min="11" max="11"/>
    <col width="11" customWidth="1" min="12" max="12"/>
    <col width="9" customWidth="1" min="13" max="13"/>
    <col width="44" customWidth="1" min="14" max="14"/>
  </cols>
  <sheetData>
    <row r="1" ht="22" customHeight="1">
      <c r="A1" s="4" t="inlineStr">
        <is>
          <t>ID</t>
        </is>
      </c>
      <c r="B1" s="4" t="inlineStr">
        <is>
          <t>端</t>
        </is>
      </c>
      <c r="C1" s="4" t="inlineStr">
        <is>
          <t>模块</t>
        </is>
      </c>
      <c r="D1" s="4" t="inlineStr">
        <is>
          <t>功能</t>
        </is>
      </c>
      <c r="E1" s="4" t="inlineStr">
        <is>
          <t>说明（原文件）</t>
        </is>
      </c>
      <c r="F1" s="4" t="inlineStr">
        <is>
          <t>重要性</t>
        </is>
      </c>
      <c r="G1" s="4" t="inlineStr">
        <is>
          <t>实现方式</t>
        </is>
      </c>
      <c r="H1" s="4" t="inlineStr">
        <is>
          <t>参考项目</t>
        </is>
      </c>
      <c r="I1" s="4" t="inlineStr">
        <is>
          <t>阶段</t>
        </is>
      </c>
      <c r="J1" s="4" t="inlineStr">
        <is>
          <t>复杂度</t>
        </is>
      </c>
      <c r="K1" s="4" t="inlineStr">
        <is>
          <t>状态</t>
        </is>
      </c>
      <c r="L1" s="4" t="inlineStr">
        <is>
          <t>完成时间</t>
        </is>
      </c>
      <c r="M1" s="4" t="inlineStr">
        <is>
          <t>负责人</t>
        </is>
      </c>
      <c r="N1" s="4" t="inlineStr">
        <is>
          <t>备注</t>
        </is>
      </c>
    </row>
    <row r="2">
      <c r="A2" s="5" t="inlineStr">
        <is>
          <t>A-01</t>
        </is>
      </c>
      <c r="B2" s="5" t="inlineStr">
        <is>
          <t>后台管理端</t>
        </is>
      </c>
      <c r="C2" s="5" t="inlineStr">
        <is>
          <t>装修</t>
        </is>
      </c>
      <c r="D2" s="6" t="inlineStr">
        <is>
          <t>首页自定义装修</t>
        </is>
      </c>
      <c r="E2" s="6" t="inlineStr"/>
      <c r="F2" s="7" t="inlineStr">
        <is>
          <t>P1</t>
        </is>
      </c>
      <c r="G2" s="6" t="inlineStr">
        <is>
          <t>芋道 diy + yshop 组件移植</t>
        </is>
      </c>
      <c r="H2" s="6" t="inlineStr">
        <is>
          <t>yshop、芋道</t>
        </is>
      </c>
      <c r="I2" s="5" t="inlineStr">
        <is>
          <t>M8·P1</t>
        </is>
      </c>
      <c r="J2" s="5" t="inlineStr">
        <is>
          <t>S</t>
        </is>
      </c>
      <c r="K2" s="5" t="inlineStr">
        <is>
          <t>未开始</t>
        </is>
      </c>
      <c r="L2" s="5" t="inlineStr"/>
      <c r="M2" s="5" t="inlineStr"/>
      <c r="N2" s="6" t="inlineStr">
        <is>
          <t>餐饮组件：轮播/商品组/券礼包/公告/魔方；uniapp 渲染器组件白名单映射</t>
        </is>
      </c>
    </row>
    <row r="3">
      <c r="A3" s="5" t="inlineStr">
        <is>
          <t>A-02</t>
        </is>
      </c>
      <c r="B3" s="5" t="inlineStr">
        <is>
          <t>后台管理端</t>
        </is>
      </c>
      <c r="C3" s="5" t="inlineStr">
        <is>
          <t>工作台</t>
        </is>
      </c>
      <c r="D3" s="6" t="inlineStr">
        <is>
          <t>工作台</t>
        </is>
      </c>
      <c r="E3" s="6" t="inlineStr">
        <is>
          <t>实时观看订单与桌面数据</t>
        </is>
      </c>
      <c r="F3" s="8" t="inlineStr">
        <is>
          <t>P0</t>
        </is>
      </c>
      <c r="G3" s="6" t="inlineStr">
        <is>
          <t>自研（WebSocket 推送）</t>
        </is>
      </c>
      <c r="H3" s="6" t="inlineStr">
        <is>
          <t>TKOB（KDS 看板）</t>
        </is>
      </c>
      <c r="I3" s="5" t="inlineStr">
        <is>
          <t>M3·P0</t>
        </is>
      </c>
      <c r="J3" s="5" t="inlineStr">
        <is>
          <t>L</t>
        </is>
      </c>
      <c r="K3" s="5" t="inlineStr">
        <is>
          <t>未开始</t>
        </is>
      </c>
      <c r="L3" s="5" t="inlineStr"/>
      <c r="M3" s="5" t="inlineStr"/>
      <c r="N3" s="6" t="inlineStr">
        <is>
          <t>接单语音提醒、桌台态可视化；依赖 A-05、A-21</t>
        </is>
      </c>
    </row>
    <row r="4">
      <c r="A4" s="5" t="inlineStr">
        <is>
          <t>A-03</t>
        </is>
      </c>
      <c r="B4" s="5" t="inlineStr">
        <is>
          <t>后台管理端</t>
        </is>
      </c>
      <c r="C4" s="5" t="inlineStr">
        <is>
          <t>收银台</t>
        </is>
      </c>
      <c r="D4" s="6" t="inlineStr">
        <is>
          <t>收银</t>
        </is>
      </c>
      <c r="E4" s="6" t="inlineStr">
        <is>
          <t>挂单、取单、现金、余额、扫码收款等</t>
        </is>
      </c>
      <c r="F4" s="8" t="inlineStr">
        <is>
          <t>P0</t>
        </is>
      </c>
      <c r="G4" s="6" t="inlineStr">
        <is>
          <t>自研</t>
        </is>
      </c>
      <c r="H4" s="6" t="inlineStr">
        <is>
          <t>Floreant（只读：挂单领域规则）、Jeepay（只读：B扫C）</t>
        </is>
      </c>
      <c r="I4" s="5" t="inlineStr">
        <is>
          <t>M3·P0</t>
        </is>
      </c>
      <c r="J4" s="5" t="inlineStr">
        <is>
          <t>XL</t>
        </is>
      </c>
      <c r="K4" s="5" t="inlineStr">
        <is>
          <t>未开始</t>
        </is>
      </c>
      <c r="L4" s="5" t="inlineStr"/>
      <c r="M4" s="5" t="inlineStr"/>
      <c r="N4" s="6" t="inlineStr">
        <is>
          <t>挂单区队列+超时提醒；扫码枪 HID 键盘模拟；组合支付+抹零</t>
        </is>
      </c>
    </row>
    <row r="5">
      <c r="A5" s="5" t="inlineStr">
        <is>
          <t>A-04</t>
        </is>
      </c>
      <c r="B5" s="5" t="inlineStr">
        <is>
          <t>后台管理端</t>
        </is>
      </c>
      <c r="C5" s="5" t="inlineStr">
        <is>
          <t>桌台</t>
        </is>
      </c>
      <c r="D5" s="6" t="inlineStr">
        <is>
          <t>桌台</t>
        </is>
      </c>
      <c r="E5" s="6" t="inlineStr">
        <is>
          <t>可以查看桌台信息、可以协助桌台点餐</t>
        </is>
      </c>
      <c r="F5" s="8" t="inlineStr">
        <is>
          <t>P0</t>
        </is>
      </c>
      <c r="G5" s="6" t="inlineStr">
        <is>
          <t>自研</t>
        </is>
      </c>
      <c r="H5" s="6" t="inlineStr">
        <is>
          <t>—</t>
        </is>
      </c>
      <c r="I5" s="5" t="inlineStr">
        <is>
          <t>M3·P0</t>
        </is>
      </c>
      <c r="J5" s="5" t="inlineStr">
        <is>
          <t>M</t>
        </is>
      </c>
      <c r="K5" s="5" t="inlineStr">
        <is>
          <t>未开始</t>
        </is>
      </c>
      <c r="L5" s="5" t="inlineStr"/>
      <c r="M5" s="5" t="inlineStr"/>
      <c r="N5" s="6" t="inlineStr">
        <is>
          <t>依赖 A-05 桌号管理</t>
        </is>
      </c>
    </row>
    <row r="6">
      <c r="A6" s="5" t="inlineStr">
        <is>
          <t>A-05</t>
        </is>
      </c>
      <c r="B6" s="5" t="inlineStr">
        <is>
          <t>后台管理端</t>
        </is>
      </c>
      <c r="C6" s="5" t="inlineStr">
        <is>
          <t>门店</t>
        </is>
      </c>
      <c r="D6" s="6" t="inlineStr">
        <is>
          <t>桌号管理</t>
        </is>
      </c>
      <c r="E6" s="6" t="inlineStr">
        <is>
          <t>批量添加桌面 批量导入 批量生成二维码</t>
        </is>
      </c>
      <c r="F6" s="8" t="inlineStr">
        <is>
          <t>P0</t>
        </is>
      </c>
      <c r="G6" s="6" t="inlineStr">
        <is>
          <t>自研</t>
        </is>
      </c>
      <c r="H6" s="6" t="inlineStr">
        <is>
          <t>—</t>
        </is>
      </c>
      <c r="I6" s="5" t="inlineStr">
        <is>
          <t>M1·P0</t>
        </is>
      </c>
      <c r="J6" s="5" t="inlineStr">
        <is>
          <t>M</t>
        </is>
      </c>
      <c r="K6" s="5" t="inlineStr">
        <is>
          <t>未开始</t>
        </is>
      </c>
      <c r="L6" s="5" t="inlineStr"/>
      <c r="M6" s="5" t="inlineStr"/>
      <c r="N6" s="6" t="inlineStr">
        <is>
          <t>桌码防伪签名；批量导出 PDF 物料</t>
        </is>
      </c>
    </row>
    <row r="7">
      <c r="A7" s="5" t="inlineStr">
        <is>
          <t>A-06</t>
        </is>
      </c>
      <c r="B7" s="5" t="inlineStr">
        <is>
          <t>后台管理端</t>
        </is>
      </c>
      <c r="C7" s="5" t="inlineStr">
        <is>
          <t>门店</t>
        </is>
      </c>
      <c r="D7" s="6" t="inlineStr">
        <is>
          <t>打印机管理</t>
        </is>
      </c>
      <c r="E7" s="6" t="inlineStr">
        <is>
          <t>易联云/飞鹅小票打印机等</t>
        </is>
      </c>
      <c r="F7" s="8" t="inlineStr">
        <is>
          <t>P0</t>
        </is>
      </c>
      <c r="G7" s="6" t="inlineStr">
        <is>
          <t>自研 + 厂商 SDK</t>
        </is>
      </c>
      <c r="H7" s="6" t="inlineStr">
        <is>
          <t>厂商官方文档</t>
        </is>
      </c>
      <c r="I7" s="5" t="inlineStr">
        <is>
          <t>M3·P0</t>
        </is>
      </c>
      <c r="J7" s="5" t="inlineStr">
        <is>
          <t>M</t>
        </is>
      </c>
      <c r="K7" s="5" t="inlineStr">
        <is>
          <t>未开始</t>
        </is>
      </c>
      <c r="L7" s="5" t="inlineStr"/>
      <c r="M7" s="5" t="inlineStr"/>
      <c r="N7" s="6" t="inlineStr">
        <is>
          <t>适配器模式；后厨分组路由、故障降级备用机</t>
        </is>
      </c>
    </row>
    <row r="8">
      <c r="A8" s="5" t="inlineStr">
        <is>
          <t>A-07</t>
        </is>
      </c>
      <c r="B8" s="5" t="inlineStr">
        <is>
          <t>后台管理端</t>
        </is>
      </c>
      <c r="C8" s="5" t="inlineStr">
        <is>
          <t>门店</t>
        </is>
      </c>
      <c r="D8" s="6" t="inlineStr">
        <is>
          <t>门店管理</t>
        </is>
      </c>
      <c r="E8" s="6" t="inlineStr">
        <is>
          <t>可添加门店管理员与打印机等</t>
        </is>
      </c>
      <c r="F8" s="8" t="inlineStr">
        <is>
          <t>P0</t>
        </is>
      </c>
      <c r="G8" s="6" t="inlineStr">
        <is>
          <t>自研</t>
        </is>
      </c>
      <c r="H8" s="6" t="inlineStr">
        <is>
          <t>—</t>
        </is>
      </c>
      <c r="I8" s="5" t="inlineStr">
        <is>
          <t>M1·P0</t>
        </is>
      </c>
      <c r="J8" s="5" t="inlineStr">
        <is>
          <t>M</t>
        </is>
      </c>
      <c r="K8" s="5" t="inlineStr">
        <is>
          <t>未开始</t>
        </is>
      </c>
      <c r="L8" s="5" t="inlineStr"/>
      <c r="M8" s="5" t="inlineStr"/>
      <c r="N8" s="6" t="inlineStr"/>
    </row>
    <row r="9">
      <c r="A9" s="5" t="inlineStr">
        <is>
          <t>A-08</t>
        </is>
      </c>
      <c r="B9" s="5" t="inlineStr">
        <is>
          <t>后台管理端</t>
        </is>
      </c>
      <c r="C9" s="5" t="inlineStr">
        <is>
          <t>门店</t>
        </is>
      </c>
      <c r="D9" s="6" t="inlineStr">
        <is>
          <t>广告图管理</t>
        </is>
      </c>
      <c r="E9" s="6" t="inlineStr"/>
      <c r="F9" s="8" t="inlineStr">
        <is>
          <t>P0</t>
        </is>
      </c>
      <c r="G9" s="6" t="inlineStr">
        <is>
          <t>yshop shopads 移植</t>
        </is>
      </c>
      <c r="H9" s="6" t="inlineStr">
        <is>
          <t>yshop</t>
        </is>
      </c>
      <c r="I9" s="5" t="inlineStr">
        <is>
          <t>M2·P0</t>
        </is>
      </c>
      <c r="J9" s="5" t="inlineStr">
        <is>
          <t>S</t>
        </is>
      </c>
      <c r="K9" s="5" t="inlineStr">
        <is>
          <t>未开始</t>
        </is>
      </c>
      <c r="L9" s="5" t="inlineStr"/>
      <c r="M9" s="5" t="inlineStr"/>
      <c r="N9" s="6" t="inlineStr">
        <is>
          <t>原 P1 上调：M2 首页轮播依赖</t>
        </is>
      </c>
    </row>
    <row r="10">
      <c r="A10" s="5" t="inlineStr">
        <is>
          <t>A-09</t>
        </is>
      </c>
      <c r="B10" s="5" t="inlineStr">
        <is>
          <t>后台管理端</t>
        </is>
      </c>
      <c r="C10" s="5" t="inlineStr">
        <is>
          <t>门店</t>
        </is>
      </c>
      <c r="D10" s="6" t="inlineStr">
        <is>
          <t>新闻管理</t>
        </is>
      </c>
      <c r="E10" s="6" t="inlineStr"/>
      <c r="F10" s="9" t="inlineStr">
        <is>
          <t>P2</t>
        </is>
      </c>
      <c r="G10" s="6" t="inlineStr">
        <is>
          <t>自研（简单 CRUD）</t>
        </is>
      </c>
      <c r="H10" s="6" t="inlineStr">
        <is>
          <t>—</t>
        </is>
      </c>
      <c r="I10" s="5" t="inlineStr">
        <is>
          <t>M8·P2</t>
        </is>
      </c>
      <c r="J10" s="5" t="inlineStr">
        <is>
          <t>S</t>
        </is>
      </c>
      <c r="K10" s="5" t="inlineStr">
        <is>
          <t>未开始</t>
        </is>
      </c>
      <c r="L10" s="5" t="inlineStr"/>
      <c r="M10" s="5" t="inlineStr"/>
      <c r="N10" s="6" t="inlineStr"/>
    </row>
    <row r="11">
      <c r="A11" s="5" t="inlineStr">
        <is>
          <t>A-10</t>
        </is>
      </c>
      <c r="B11" s="5" t="inlineStr">
        <is>
          <t>后台管理端</t>
        </is>
      </c>
      <c r="C11" s="5" t="inlineStr">
        <is>
          <t>门店</t>
        </is>
      </c>
      <c r="D11" s="6" t="inlineStr">
        <is>
          <t>门店用户</t>
        </is>
      </c>
      <c r="E11" s="6" t="inlineStr">
        <is>
          <t>用于管理移动端商家用户绑定</t>
        </is>
      </c>
      <c r="F11" s="8" t="inlineStr">
        <is>
          <t>P0</t>
        </is>
      </c>
      <c r="G11" s="6" t="inlineStr">
        <is>
          <t>自研</t>
        </is>
      </c>
      <c r="H11" s="6" t="inlineStr">
        <is>
          <t>—</t>
        </is>
      </c>
      <c r="I11" s="5" t="inlineStr">
        <is>
          <t>M1·P0</t>
        </is>
      </c>
      <c r="J11" s="5" t="inlineStr">
        <is>
          <t>M</t>
        </is>
      </c>
      <c r="K11" s="5" t="inlineStr">
        <is>
          <t>未开始</t>
        </is>
      </c>
      <c r="L11" s="5" t="inlineStr"/>
      <c r="M11" s="5" t="inlineStr"/>
      <c r="N11" s="6" t="inlineStr">
        <is>
          <t>商家中心（M 端）登录主体</t>
        </is>
      </c>
    </row>
    <row r="12">
      <c r="A12" s="5" t="inlineStr">
        <is>
          <t>A-11</t>
        </is>
      </c>
      <c r="B12" s="5" t="inlineStr">
        <is>
          <t>后台管理端</t>
        </is>
      </c>
      <c r="C12" s="5" t="inlineStr">
        <is>
          <t>门店</t>
        </is>
      </c>
      <c r="D12" s="6" t="inlineStr">
        <is>
          <t>桌面分类</t>
        </is>
      </c>
      <c r="E12" s="6" t="inlineStr"/>
      <c r="F12" s="7" t="inlineStr">
        <is>
          <t>P1</t>
        </is>
      </c>
      <c r="G12" s="6" t="inlineStr">
        <is>
          <t>自研</t>
        </is>
      </c>
      <c r="H12" s="6" t="inlineStr">
        <is>
          <t>—</t>
        </is>
      </c>
      <c r="I12" s="5" t="inlineStr">
        <is>
          <t>M6·P1</t>
        </is>
      </c>
      <c r="J12" s="5" t="inlineStr">
        <is>
          <t>S</t>
        </is>
      </c>
      <c r="K12" s="5" t="inlineStr">
        <is>
          <t>未开始</t>
        </is>
      </c>
      <c r="L12" s="5" t="inlineStr"/>
      <c r="M12" s="5" t="inlineStr"/>
      <c r="N12" s="6" t="inlineStr">
        <is>
          <t>包间/散台，关联预约可约性</t>
        </is>
      </c>
    </row>
    <row r="13">
      <c r="A13" s="5" t="inlineStr">
        <is>
          <t>A-12</t>
        </is>
      </c>
      <c r="B13" s="5" t="inlineStr">
        <is>
          <t>后台管理端</t>
        </is>
      </c>
      <c r="C13" s="5" t="inlineStr">
        <is>
          <t>门店</t>
        </is>
      </c>
      <c r="D13" s="6" t="inlineStr">
        <is>
          <t>预约标签</t>
        </is>
      </c>
      <c r="E13" s="6" t="inlineStr"/>
      <c r="F13" s="7" t="inlineStr">
        <is>
          <t>P1</t>
        </is>
      </c>
      <c r="G13" s="6" t="inlineStr">
        <is>
          <t>自研</t>
        </is>
      </c>
      <c r="H13" s="6" t="inlineStr">
        <is>
          <t>—</t>
        </is>
      </c>
      <c r="I13" s="5" t="inlineStr">
        <is>
          <t>M6·P1</t>
        </is>
      </c>
      <c r="J13" s="5" t="inlineStr">
        <is>
          <t>S</t>
        </is>
      </c>
      <c r="K13" s="5" t="inlineStr">
        <is>
          <t>未开始</t>
        </is>
      </c>
      <c r="L13" s="5" t="inlineStr"/>
      <c r="M13" s="5" t="inlineStr"/>
      <c r="N13" s="6" t="inlineStr"/>
    </row>
    <row r="14">
      <c r="A14" s="5" t="inlineStr">
        <is>
          <t>A-13</t>
        </is>
      </c>
      <c r="B14" s="5" t="inlineStr">
        <is>
          <t>后台管理端</t>
        </is>
      </c>
      <c r="C14" s="5" t="inlineStr">
        <is>
          <t>门店</t>
        </is>
      </c>
      <c r="D14" s="6" t="inlineStr">
        <is>
          <t>预约规则</t>
        </is>
      </c>
      <c r="E14" s="6" t="inlineStr"/>
      <c r="F14" s="7" t="inlineStr">
        <is>
          <t>P1</t>
        </is>
      </c>
      <c r="G14" s="6" t="inlineStr">
        <is>
          <t>自研</t>
        </is>
      </c>
      <c r="H14" s="6" t="inlineStr">
        <is>
          <t>TastyIgniter（只读）</t>
        </is>
      </c>
      <c r="I14" s="5" t="inlineStr">
        <is>
          <t>M6·P1</t>
        </is>
      </c>
      <c r="J14" s="5" t="inlineStr">
        <is>
          <t>M</t>
        </is>
      </c>
      <c r="K14" s="5" t="inlineStr">
        <is>
          <t>未开始</t>
        </is>
      </c>
      <c r="L14" s="5" t="inlineStr"/>
      <c r="M14" s="5" t="inlineStr"/>
      <c r="N14" s="6" t="inlineStr">
        <is>
          <t>时段切分/容量/提前量/取消政策</t>
        </is>
      </c>
    </row>
    <row r="15">
      <c r="A15" s="5" t="inlineStr">
        <is>
          <t>A-14</t>
        </is>
      </c>
      <c r="B15" s="5" t="inlineStr">
        <is>
          <t>后台管理端</t>
        </is>
      </c>
      <c r="C15" s="5" t="inlineStr">
        <is>
          <t>商品</t>
        </is>
      </c>
      <c r="D15" s="6" t="inlineStr">
        <is>
          <t>商品多规格</t>
        </is>
      </c>
      <c r="E15" s="6" t="inlineStr">
        <is>
          <t>可以添加菜品的SKU属性等</t>
        </is>
      </c>
      <c r="F15" s="8" t="inlineStr">
        <is>
          <t>P0</t>
        </is>
      </c>
      <c r="G15" s="6" t="inlineStr">
        <is>
          <t>yshop 规格三表移植</t>
        </is>
      </c>
      <c r="H15" s="6" t="inlineStr">
        <is>
          <t>yshop（attr/attrresult/attrvalue）</t>
        </is>
      </c>
      <c r="I15" s="5" t="inlineStr">
        <is>
          <t>M1·P0</t>
        </is>
      </c>
      <c r="J15" s="5" t="inlineStr">
        <is>
          <t>L</t>
        </is>
      </c>
      <c r="K15" s="5" t="inlineStr">
        <is>
          <t>未开始</t>
        </is>
      </c>
      <c r="L15" s="5" t="inlineStr"/>
      <c r="M15" s="5" t="inlineStr"/>
      <c r="N15" s="6" t="inlineStr">
        <is>
          <t>餐饮化扩展：估清/时段价/做法类非库存规格（BiteGo priceItemKey 思路）</t>
        </is>
      </c>
    </row>
    <row r="16">
      <c r="A16" s="5" t="inlineStr">
        <is>
          <t>A-15</t>
        </is>
      </c>
      <c r="B16" s="5" t="inlineStr">
        <is>
          <t>后台管理端</t>
        </is>
      </c>
      <c r="C16" s="5" t="inlineStr">
        <is>
          <t>商品</t>
        </is>
      </c>
      <c r="D16" s="6" t="inlineStr">
        <is>
          <t>商品分类</t>
        </is>
      </c>
      <c r="E16" s="6" t="inlineStr"/>
      <c r="F16" s="8" t="inlineStr">
        <is>
          <t>P0</t>
        </is>
      </c>
      <c r="G16" s="6" t="inlineStr">
        <is>
          <t>芋道</t>
        </is>
      </c>
      <c r="H16" s="6" t="inlineStr">
        <is>
          <t>芋道</t>
        </is>
      </c>
      <c r="I16" s="5" t="inlineStr">
        <is>
          <t>M1·P0</t>
        </is>
      </c>
      <c r="J16" s="5" t="inlineStr">
        <is>
          <t>S</t>
        </is>
      </c>
      <c r="K16" s="5" t="inlineStr">
        <is>
          <t>未开始</t>
        </is>
      </c>
      <c r="L16" s="5" t="inlineStr"/>
      <c r="M16" s="5" t="inlineStr"/>
      <c r="N16" s="6" t="inlineStr"/>
    </row>
    <row r="17">
      <c r="A17" s="5" t="inlineStr">
        <is>
          <t>A-16</t>
        </is>
      </c>
      <c r="B17" s="5" t="inlineStr">
        <is>
          <t>后台管理端</t>
        </is>
      </c>
      <c r="C17" s="5" t="inlineStr">
        <is>
          <t>商品</t>
        </is>
      </c>
      <c r="D17" s="6" t="inlineStr">
        <is>
          <t>商品管理</t>
        </is>
      </c>
      <c r="E17" s="6" t="inlineStr">
        <is>
          <t>可对商品上下架导入等</t>
        </is>
      </c>
      <c r="F17" s="8" t="inlineStr">
        <is>
          <t>P0</t>
        </is>
      </c>
      <c r="G17" s="6" t="inlineStr">
        <is>
          <t>芋道 + yshop</t>
        </is>
      </c>
      <c r="H17" s="6" t="inlineStr">
        <is>
          <t>yshop</t>
        </is>
      </c>
      <c r="I17" s="5" t="inlineStr">
        <is>
          <t>M1·P0</t>
        </is>
      </c>
      <c r="J17" s="5" t="inlineStr">
        <is>
          <t>M</t>
        </is>
      </c>
      <c r="K17" s="5" t="inlineStr">
        <is>
          <t>未开始</t>
        </is>
      </c>
      <c r="L17" s="5" t="inlineStr"/>
      <c r="M17" s="5" t="inlineStr"/>
      <c r="N17" s="6" t="inlineStr"/>
    </row>
    <row r="18">
      <c r="A18" s="5" t="inlineStr">
        <is>
          <t>A-17</t>
        </is>
      </c>
      <c r="B18" s="5" t="inlineStr">
        <is>
          <t>后台管理端</t>
        </is>
      </c>
      <c r="C18" s="5" t="inlineStr">
        <is>
          <t>订单</t>
        </is>
      </c>
      <c r="D18" s="6" t="inlineStr">
        <is>
          <t>堂食订单</t>
        </is>
      </c>
      <c r="E18" s="6" t="inlineStr">
        <is>
          <t>查看订单与实时概况</t>
        </is>
      </c>
      <c r="F18" s="8" t="inlineStr">
        <is>
          <t>P0</t>
        </is>
      </c>
      <c r="G18" s="6" t="inlineStr">
        <is>
          <t>芋道 trade 扩展</t>
        </is>
      </c>
      <c r="H18" s="6" t="inlineStr">
        <is>
          <t>—</t>
        </is>
      </c>
      <c r="I18" s="5" t="inlineStr">
        <is>
          <t>M2·P0</t>
        </is>
      </c>
      <c r="J18" s="5" t="inlineStr">
        <is>
          <t>L</t>
        </is>
      </c>
      <c r="K18" s="5" t="inlineStr">
        <is>
          <t>未开始</t>
        </is>
      </c>
      <c r="L18" s="5" t="inlineStr"/>
      <c r="M18" s="5" t="inlineStr"/>
      <c r="N18" s="6" t="inlineStr">
        <is>
          <t>dine_mode 扩展；扫桌码下单；加餐并单</t>
        </is>
      </c>
    </row>
    <row r="19">
      <c r="A19" s="5" t="inlineStr">
        <is>
          <t>A-18</t>
        </is>
      </c>
      <c r="B19" s="5" t="inlineStr">
        <is>
          <t>后台管理端</t>
        </is>
      </c>
      <c r="C19" s="5" t="inlineStr">
        <is>
          <t>订单</t>
        </is>
      </c>
      <c r="D19" s="6" t="inlineStr">
        <is>
          <t>外卖订单</t>
        </is>
      </c>
      <c r="E19" s="6" t="inlineStr">
        <is>
          <t>查看订单与实时概况</t>
        </is>
      </c>
      <c r="F19" s="8" t="inlineStr">
        <is>
          <t>P0</t>
        </is>
      </c>
      <c r="G19" s="6" t="inlineStr">
        <is>
          <t>芋道 trade 扩展</t>
        </is>
      </c>
      <c r="H19" s="6" t="inlineStr">
        <is>
          <t>—</t>
        </is>
      </c>
      <c r="I19" s="5" t="inlineStr">
        <is>
          <t>M2·P0</t>
        </is>
      </c>
      <c r="J19" s="5" t="inlineStr">
        <is>
          <t>L</t>
        </is>
      </c>
      <c r="K19" s="5" t="inlineStr">
        <is>
          <t>未开始</t>
        </is>
      </c>
      <c r="L19" s="5" t="inlineStr"/>
      <c r="M19" s="5" t="inlineStr"/>
      <c r="N19" s="6" t="inlineStr">
        <is>
          <t>依赖 X-07 配送调度（UU跑腿）</t>
        </is>
      </c>
    </row>
    <row r="20">
      <c r="A20" s="5" t="inlineStr">
        <is>
          <t>A-19</t>
        </is>
      </c>
      <c r="B20" s="5" t="inlineStr">
        <is>
          <t>后台管理端</t>
        </is>
      </c>
      <c r="C20" s="5" t="inlineStr">
        <is>
          <t>订单</t>
        </is>
      </c>
      <c r="D20" s="6" t="inlineStr">
        <is>
          <t>自取订单</t>
        </is>
      </c>
      <c r="E20" s="6" t="inlineStr">
        <is>
          <t>查看订单与实时概况</t>
        </is>
      </c>
      <c r="F20" s="8" t="inlineStr">
        <is>
          <t>P0</t>
        </is>
      </c>
      <c r="G20" s="6" t="inlineStr">
        <is>
          <t>芋道 trade 扩展</t>
        </is>
      </c>
      <c r="H20" s="6" t="inlineStr">
        <is>
          <t>—</t>
        </is>
      </c>
      <c r="I20" s="5" t="inlineStr">
        <is>
          <t>M2·P0</t>
        </is>
      </c>
      <c r="J20" s="5" t="inlineStr">
        <is>
          <t>M</t>
        </is>
      </c>
      <c r="K20" s="5" t="inlineStr">
        <is>
          <t>未开始</t>
        </is>
      </c>
      <c r="L20" s="5" t="inlineStr"/>
      <c r="M20" s="5" t="inlineStr"/>
      <c r="N20" s="6" t="inlineStr">
        <is>
          <t>取餐号/叫号</t>
        </is>
      </c>
    </row>
    <row r="21">
      <c r="A21" s="5" t="inlineStr">
        <is>
          <t>A-20</t>
        </is>
      </c>
      <c r="B21" s="5" t="inlineStr">
        <is>
          <t>后台管理端</t>
        </is>
      </c>
      <c r="C21" s="5" t="inlineStr">
        <is>
          <t>订单</t>
        </is>
      </c>
      <c r="D21" s="6" t="inlineStr">
        <is>
          <t>预约订单</t>
        </is>
      </c>
      <c r="E21" s="6" t="inlineStr">
        <is>
          <t>查看订单与实时概况</t>
        </is>
      </c>
      <c r="F21" s="7" t="inlineStr">
        <is>
          <t>P1</t>
        </is>
      </c>
      <c r="G21" s="6" t="inlineStr">
        <is>
          <t>自研</t>
        </is>
      </c>
      <c r="H21" s="6" t="inlineStr">
        <is>
          <t>—</t>
        </is>
      </c>
      <c r="I21" s="5" t="inlineStr">
        <is>
          <t>M6·P1</t>
        </is>
      </c>
      <c r="J21" s="5" t="inlineStr">
        <is>
          <t>M</t>
        </is>
      </c>
      <c r="K21" s="5" t="inlineStr">
        <is>
          <t>未开始</t>
        </is>
      </c>
      <c r="L21" s="5" t="inlineStr"/>
      <c r="M21" s="5" t="inlineStr"/>
      <c r="N21" s="6" t="inlineStr">
        <is>
          <t>依赖 A-13 预约规则</t>
        </is>
      </c>
    </row>
    <row r="22">
      <c r="A22" s="5" t="inlineStr">
        <is>
          <t>A-21</t>
        </is>
      </c>
      <c r="B22" s="5" t="inlineStr">
        <is>
          <t>后台管理端</t>
        </is>
      </c>
      <c r="C22" s="5" t="inlineStr">
        <is>
          <t>订单</t>
        </is>
      </c>
      <c r="D22" s="6" t="inlineStr">
        <is>
          <t>收银订单</t>
        </is>
      </c>
      <c r="E22" s="6" t="inlineStr">
        <is>
          <t>查看订单与实时概况</t>
        </is>
      </c>
      <c r="F22" s="8" t="inlineStr">
        <is>
          <t>P0</t>
        </is>
      </c>
      <c r="G22" s="6" t="inlineStr">
        <is>
          <t>自研</t>
        </is>
      </c>
      <c r="H22" s="6" t="inlineStr">
        <is>
          <t>—</t>
        </is>
      </c>
      <c r="I22" s="5" t="inlineStr">
        <is>
          <t>M3·P0</t>
        </is>
      </c>
      <c r="J22" s="5" t="inlineStr">
        <is>
          <t>M</t>
        </is>
      </c>
      <c r="K22" s="5" t="inlineStr">
        <is>
          <t>未开始</t>
        </is>
      </c>
      <c r="L22" s="5" t="inlineStr"/>
      <c r="M22" s="5" t="inlineStr"/>
      <c r="N22" s="6" t="inlineStr">
        <is>
          <t>依赖 A-03 收银</t>
        </is>
      </c>
    </row>
    <row r="23">
      <c r="A23" s="5" t="inlineStr">
        <is>
          <t>A-22</t>
        </is>
      </c>
      <c r="B23" s="5" t="inlineStr">
        <is>
          <t>后台管理端</t>
        </is>
      </c>
      <c r="C23" s="5" t="inlineStr">
        <is>
          <t>会员</t>
        </is>
      </c>
      <c r="D23" s="6" t="inlineStr">
        <is>
          <t>会员管理</t>
        </is>
      </c>
      <c r="E23" s="6" t="inlineStr">
        <is>
          <t>可添加余额与积分等</t>
        </is>
      </c>
      <c r="F23" s="8" t="inlineStr">
        <is>
          <t>P0</t>
        </is>
      </c>
      <c r="G23" s="6" t="inlineStr">
        <is>
          <t>芋道</t>
        </is>
      </c>
      <c r="H23" s="6" t="inlineStr">
        <is>
          <t>芋道</t>
        </is>
      </c>
      <c r="I23" s="5" t="inlineStr">
        <is>
          <t>M4·P0</t>
        </is>
      </c>
      <c r="J23" s="5" t="inlineStr">
        <is>
          <t>S</t>
        </is>
      </c>
      <c r="K23" s="5" t="inlineStr">
        <is>
          <t>未开始</t>
        </is>
      </c>
      <c r="L23" s="5" t="inlineStr"/>
      <c r="M23" s="5" t="inlineStr"/>
      <c r="N23" s="6" t="inlineStr"/>
    </row>
    <row r="24">
      <c r="A24" s="5" t="inlineStr">
        <is>
          <t>A-23</t>
        </is>
      </c>
      <c r="B24" s="5" t="inlineStr">
        <is>
          <t>后台管理端</t>
        </is>
      </c>
      <c r="C24" s="5" t="inlineStr">
        <is>
          <t>会员</t>
        </is>
      </c>
      <c r="D24" s="6" t="inlineStr">
        <is>
          <t>地址管理</t>
        </is>
      </c>
      <c r="E24" s="6" t="inlineStr"/>
      <c r="F24" s="8" t="inlineStr">
        <is>
          <t>P0</t>
        </is>
      </c>
      <c r="G24" s="6" t="inlineStr">
        <is>
          <t>芋道</t>
        </is>
      </c>
      <c r="H24" s="6" t="inlineStr">
        <is>
          <t>芋道</t>
        </is>
      </c>
      <c r="I24" s="5" t="inlineStr">
        <is>
          <t>M2·P0</t>
        </is>
      </c>
      <c r="J24" s="5" t="inlineStr">
        <is>
          <t>S</t>
        </is>
      </c>
      <c r="K24" s="5" t="inlineStr">
        <is>
          <t>未开始</t>
        </is>
      </c>
      <c r="L24" s="5" t="inlineStr"/>
      <c r="M24" s="5" t="inlineStr"/>
      <c r="N24" s="6" t="inlineStr"/>
    </row>
    <row r="25">
      <c r="A25" s="5" t="inlineStr">
        <is>
          <t>A-24</t>
        </is>
      </c>
      <c r="B25" s="5" t="inlineStr">
        <is>
          <t>后台管理端</t>
        </is>
      </c>
      <c r="C25" s="5" t="inlineStr">
        <is>
          <t>会员</t>
        </is>
      </c>
      <c r="D25" s="6" t="inlineStr">
        <is>
          <t>我的服务</t>
        </is>
      </c>
      <c r="E25" s="6" t="inlineStr">
        <is>
          <t>管理用户端个人中心服务菜单</t>
        </is>
      </c>
      <c r="F25" s="7" t="inlineStr">
        <is>
          <t>P1</t>
        </is>
      </c>
      <c r="G25" s="6" t="inlineStr">
        <is>
          <t>yshop service 移植</t>
        </is>
      </c>
      <c r="H25" s="6" t="inlineStr">
        <is>
          <t>yshop</t>
        </is>
      </c>
      <c r="I25" s="5" t="inlineStr">
        <is>
          <t>M4·P1</t>
        </is>
      </c>
      <c r="J25" s="5" t="inlineStr">
        <is>
          <t>S</t>
        </is>
      </c>
      <c r="K25" s="5" t="inlineStr">
        <is>
          <t>未开始</t>
        </is>
      </c>
      <c r="L25" s="5" t="inlineStr"/>
      <c r="M25" s="5" t="inlineStr"/>
      <c r="N25" s="6" t="inlineStr"/>
    </row>
    <row r="26">
      <c r="A26" s="5" t="inlineStr">
        <is>
          <t>A-25</t>
        </is>
      </c>
      <c r="B26" s="5" t="inlineStr">
        <is>
          <t>后台管理端</t>
        </is>
      </c>
      <c r="C26" s="5" t="inlineStr">
        <is>
          <t>会员</t>
        </is>
      </c>
      <c r="D26" s="6" t="inlineStr">
        <is>
          <t>会员标签</t>
        </is>
      </c>
      <c r="E26" s="6" t="inlineStr">
        <is>
          <t>添加标签等</t>
        </is>
      </c>
      <c r="F26" s="7" t="inlineStr">
        <is>
          <t>P1</t>
        </is>
      </c>
      <c r="G26" s="6" t="inlineStr">
        <is>
          <t>芋道</t>
        </is>
      </c>
      <c r="H26" s="6" t="inlineStr">
        <is>
          <t>芋道</t>
        </is>
      </c>
      <c r="I26" s="5" t="inlineStr">
        <is>
          <t>M4·P1</t>
        </is>
      </c>
      <c r="J26" s="5" t="inlineStr">
        <is>
          <t>S</t>
        </is>
      </c>
      <c r="K26" s="5" t="inlineStr">
        <is>
          <t>未开始</t>
        </is>
      </c>
      <c r="L26" s="5" t="inlineStr"/>
      <c r="M26" s="5" t="inlineStr"/>
      <c r="N26" s="6" t="inlineStr"/>
    </row>
    <row r="27">
      <c r="A27" s="5" t="inlineStr">
        <is>
          <t>A-26</t>
        </is>
      </c>
      <c r="B27" s="5" t="inlineStr">
        <is>
          <t>后台管理端</t>
        </is>
      </c>
      <c r="C27" s="5" t="inlineStr">
        <is>
          <t>会员</t>
        </is>
      </c>
      <c r="D27" s="6" t="inlineStr">
        <is>
          <t>会员积分</t>
        </is>
      </c>
      <c r="E27" s="6" t="inlineStr"/>
      <c r="F27" s="8" t="inlineStr">
        <is>
          <t>P0</t>
        </is>
      </c>
      <c r="G27" s="6" t="inlineStr">
        <is>
          <t>芋道 + 自研混合抵扣</t>
        </is>
      </c>
      <c r="H27" s="6" t="inlineStr">
        <is>
          <t>芋道</t>
        </is>
      </c>
      <c r="I27" s="5" t="inlineStr">
        <is>
          <t>M4·P0</t>
        </is>
      </c>
      <c r="J27" s="5" t="inlineStr">
        <is>
          <t>M</t>
        </is>
      </c>
      <c r="K27" s="5" t="inlineStr">
        <is>
          <t>未开始</t>
        </is>
      </c>
      <c r="L27" s="5" t="inlineStr"/>
      <c r="M27" s="5" t="inlineStr"/>
      <c r="N27" s="6" t="inlineStr">
        <is>
          <t>积分+金额混合兑换比例配置；积分过期</t>
        </is>
      </c>
    </row>
    <row r="28">
      <c r="A28" s="5" t="inlineStr">
        <is>
          <t>A-27</t>
        </is>
      </c>
      <c r="B28" s="5" t="inlineStr">
        <is>
          <t>后台管理端</t>
        </is>
      </c>
      <c r="C28" s="5" t="inlineStr">
        <is>
          <t>会员</t>
        </is>
      </c>
      <c r="D28" s="6" t="inlineStr">
        <is>
          <t>会员等级</t>
        </is>
      </c>
      <c r="E28" s="6" t="inlineStr"/>
      <c r="F28" s="7" t="inlineStr">
        <is>
          <t>P1</t>
        </is>
      </c>
      <c r="G28" s="6" t="inlineStr">
        <is>
          <t>芋道</t>
        </is>
      </c>
      <c r="H28" s="6" t="inlineStr">
        <is>
          <t>芋道</t>
        </is>
      </c>
      <c r="I28" s="5" t="inlineStr">
        <is>
          <t>M4·P1</t>
        </is>
      </c>
      <c r="J28" s="5" t="inlineStr">
        <is>
          <t>M</t>
        </is>
      </c>
      <c r="K28" s="5" t="inlineStr">
        <is>
          <t>未开始</t>
        </is>
      </c>
      <c r="L28" s="5" t="inlineStr"/>
      <c r="M28" s="5" t="inlineStr"/>
      <c r="N28" s="6" t="inlineStr">
        <is>
          <t>折扣/积分加速</t>
        </is>
      </c>
    </row>
    <row r="29">
      <c r="A29" s="5" t="inlineStr">
        <is>
          <t>A-28</t>
        </is>
      </c>
      <c r="B29" s="5" t="inlineStr">
        <is>
          <t>后台管理端</t>
        </is>
      </c>
      <c r="C29" s="5" t="inlineStr">
        <is>
          <t>会员</t>
        </is>
      </c>
      <c r="D29" s="6" t="inlineStr">
        <is>
          <t>会员权益</t>
        </is>
      </c>
      <c r="E29" s="6" t="inlineStr"/>
      <c r="F29" s="7" t="inlineStr">
        <is>
          <t>P1</t>
        </is>
      </c>
      <c r="G29" s="6" t="inlineStr">
        <is>
          <t>自研</t>
        </is>
      </c>
      <c r="H29" s="6" t="inlineStr">
        <is>
          <t>—</t>
        </is>
      </c>
      <c r="I29" s="5" t="inlineStr">
        <is>
          <t>M4·P1</t>
        </is>
      </c>
      <c r="J29" s="5" t="inlineStr">
        <is>
          <t>M</t>
        </is>
      </c>
      <c r="K29" s="5" t="inlineStr">
        <is>
          <t>未开始</t>
        </is>
      </c>
      <c r="L29" s="5" t="inlineStr"/>
      <c r="M29" s="5" t="inlineStr"/>
      <c r="N29" s="6" t="inlineStr">
        <is>
          <t>与 A-39 会员卡联动</t>
        </is>
      </c>
    </row>
    <row r="30">
      <c r="A30" s="5" t="inlineStr">
        <is>
          <t>A-29</t>
        </is>
      </c>
      <c r="B30" s="5" t="inlineStr">
        <is>
          <t>后台管理端</t>
        </is>
      </c>
      <c r="C30" s="5" t="inlineStr">
        <is>
          <t>会员</t>
        </is>
      </c>
      <c r="D30" s="6" t="inlineStr">
        <is>
          <t>会员配置</t>
        </is>
      </c>
      <c r="E30" s="6" t="inlineStr"/>
      <c r="F30" s="7" t="inlineStr">
        <is>
          <t>P1</t>
        </is>
      </c>
      <c r="G30" s="6" t="inlineStr">
        <is>
          <t>芋道</t>
        </is>
      </c>
      <c r="H30" s="6" t="inlineStr">
        <is>
          <t>芋道</t>
        </is>
      </c>
      <c r="I30" s="5" t="inlineStr">
        <is>
          <t>M4·P1</t>
        </is>
      </c>
      <c r="J30" s="5" t="inlineStr">
        <is>
          <t>S</t>
        </is>
      </c>
      <c r="K30" s="5" t="inlineStr">
        <is>
          <t>未开始</t>
        </is>
      </c>
      <c r="L30" s="5" t="inlineStr"/>
      <c r="M30" s="5" t="inlineStr"/>
      <c r="N30" s="6" t="inlineStr"/>
    </row>
    <row r="31">
      <c r="A31" s="5" t="inlineStr">
        <is>
          <t>A-30</t>
        </is>
      </c>
      <c r="B31" s="5" t="inlineStr">
        <is>
          <t>后台管理端</t>
        </is>
      </c>
      <c r="C31" s="5" t="inlineStr">
        <is>
          <t>会员</t>
        </is>
      </c>
      <c r="D31" s="6" t="inlineStr">
        <is>
          <t>邀请记录</t>
        </is>
      </c>
      <c r="E31" s="6" t="inlineStr"/>
      <c r="F31" s="9" t="inlineStr">
        <is>
          <t>P2</t>
        </is>
      </c>
      <c r="G31" s="6" t="inlineStr">
        <is>
          <t>自研</t>
        </is>
      </c>
      <c r="H31" s="6" t="inlineStr">
        <is>
          <t>—</t>
        </is>
      </c>
      <c r="I31" s="5" t="inlineStr">
        <is>
          <t>M8·P2</t>
        </is>
      </c>
      <c r="J31" s="5" t="inlineStr">
        <is>
          <t>M</t>
        </is>
      </c>
      <c r="K31" s="5" t="inlineStr">
        <is>
          <t>未开始</t>
        </is>
      </c>
      <c r="L31" s="5" t="inlineStr"/>
      <c r="M31" s="5" t="inlineStr"/>
      <c r="N31" s="6" t="inlineStr">
        <is>
          <t>依赖邀请/分销体系设计</t>
        </is>
      </c>
    </row>
    <row r="32">
      <c r="A32" s="5" t="inlineStr">
        <is>
          <t>A-31</t>
        </is>
      </c>
      <c r="B32" s="5" t="inlineStr">
        <is>
          <t>后台管理端</t>
        </is>
      </c>
      <c r="C32" s="5" t="inlineStr">
        <is>
          <t>骑手</t>
        </is>
      </c>
      <c r="D32" s="6" t="inlineStr">
        <is>
          <t>入驻申请（原'入住申请'）</t>
        </is>
      </c>
      <c r="E32" s="6" t="inlineStr"/>
      <c r="F32" s="9" t="inlineStr">
        <is>
          <t>P2</t>
        </is>
      </c>
      <c r="G32" s="6" t="inlineStr">
        <is>
          <t>自研</t>
        </is>
      </c>
      <c r="H32" s="6" t="inlineStr">
        <is>
          <t>FlashWaimai（骑手流转概念）</t>
        </is>
      </c>
      <c r="I32" s="5" t="inlineStr">
        <is>
          <t>M7·P2</t>
        </is>
      </c>
      <c r="J32" s="5" t="inlineStr">
        <is>
          <t>M</t>
        </is>
      </c>
      <c r="K32" s="5" t="inlineStr">
        <is>
          <t>未开始</t>
        </is>
      </c>
      <c r="L32" s="5" t="inlineStr"/>
      <c r="M32" s="5" t="inlineStr"/>
      <c r="N32" s="6" t="inlineStr">
        <is>
          <t>资质脱敏存储</t>
        </is>
      </c>
    </row>
    <row r="33">
      <c r="A33" s="5" t="inlineStr">
        <is>
          <t>A-32</t>
        </is>
      </c>
      <c r="B33" s="5" t="inlineStr">
        <is>
          <t>后台管理端</t>
        </is>
      </c>
      <c r="C33" s="5" t="inlineStr">
        <is>
          <t>骑手</t>
        </is>
      </c>
      <c r="D33" s="6" t="inlineStr">
        <is>
          <t>骑手管理</t>
        </is>
      </c>
      <c r="E33" s="6" t="inlineStr"/>
      <c r="F33" s="9" t="inlineStr">
        <is>
          <t>P2</t>
        </is>
      </c>
      <c r="G33" s="6" t="inlineStr">
        <is>
          <t>自研</t>
        </is>
      </c>
      <c r="H33" s="6" t="inlineStr">
        <is>
          <t>—</t>
        </is>
      </c>
      <c r="I33" s="5" t="inlineStr">
        <is>
          <t>M7·P2</t>
        </is>
      </c>
      <c r="J33" s="5" t="inlineStr">
        <is>
          <t>M</t>
        </is>
      </c>
      <c r="K33" s="5" t="inlineStr">
        <is>
          <t>未开始</t>
        </is>
      </c>
      <c r="L33" s="5" t="inlineStr"/>
      <c r="M33" s="5" t="inlineStr"/>
      <c r="N33" s="6" t="inlineStr"/>
    </row>
    <row r="34">
      <c r="A34" s="5" t="inlineStr">
        <is>
          <t>A-33</t>
        </is>
      </c>
      <c r="B34" s="5" t="inlineStr">
        <is>
          <t>后台管理端</t>
        </is>
      </c>
      <c r="C34" s="5" t="inlineStr">
        <is>
          <t>骑手</t>
        </is>
      </c>
      <c r="D34" s="6" t="inlineStr">
        <is>
          <t>骑手订单</t>
        </is>
      </c>
      <c r="E34" s="6" t="inlineStr"/>
      <c r="F34" s="9" t="inlineStr">
        <is>
          <t>P2</t>
        </is>
      </c>
      <c r="G34" s="6" t="inlineStr">
        <is>
          <t>自研</t>
        </is>
      </c>
      <c r="H34" s="6" t="inlineStr">
        <is>
          <t>—</t>
        </is>
      </c>
      <c r="I34" s="5" t="inlineStr">
        <is>
          <t>M7·P2</t>
        </is>
      </c>
      <c r="J34" s="5" t="inlineStr">
        <is>
          <t>L</t>
        </is>
      </c>
      <c r="K34" s="5" t="inlineStr">
        <is>
          <t>未开始</t>
        </is>
      </c>
      <c r="L34" s="5" t="inlineStr"/>
      <c r="M34" s="5" t="inlineStr"/>
      <c r="N34" s="6" t="inlineStr">
        <is>
          <t>取餐→送达状态流 + 轨迹上报</t>
        </is>
      </c>
    </row>
    <row r="35">
      <c r="A35" s="5" t="inlineStr">
        <is>
          <t>A-34</t>
        </is>
      </c>
      <c r="B35" s="5" t="inlineStr">
        <is>
          <t>后台管理端</t>
        </is>
      </c>
      <c r="C35" s="5" t="inlineStr">
        <is>
          <t>骑手</t>
        </is>
      </c>
      <c r="D35" s="6" t="inlineStr">
        <is>
          <t>骑手设置</t>
        </is>
      </c>
      <c r="E35" s="6" t="inlineStr"/>
      <c r="F35" s="9" t="inlineStr">
        <is>
          <t>P2</t>
        </is>
      </c>
      <c r="G35" s="6" t="inlineStr">
        <is>
          <t>自研</t>
        </is>
      </c>
      <c r="H35" s="6" t="inlineStr">
        <is>
          <t>—</t>
        </is>
      </c>
      <c r="I35" s="5" t="inlineStr">
        <is>
          <t>M7·P2</t>
        </is>
      </c>
      <c r="J35" s="5" t="inlineStr">
        <is>
          <t>S</t>
        </is>
      </c>
      <c r="K35" s="5" t="inlineStr">
        <is>
          <t>未开始</t>
        </is>
      </c>
      <c r="L35" s="5" t="inlineStr"/>
      <c r="M35" s="5" t="inlineStr"/>
      <c r="N35" s="6" t="inlineStr"/>
    </row>
    <row r="36">
      <c r="A36" s="5" t="inlineStr">
        <is>
          <t>A-35</t>
        </is>
      </c>
      <c r="B36" s="5" t="inlineStr">
        <is>
          <t>后台管理端</t>
        </is>
      </c>
      <c r="C36" s="5" t="inlineStr">
        <is>
          <t>骑手</t>
        </is>
      </c>
      <c r="D36" s="6" t="inlineStr">
        <is>
          <t>退出申请</t>
        </is>
      </c>
      <c r="E36" s="6" t="inlineStr"/>
      <c r="F36" s="9" t="inlineStr">
        <is>
          <t>P2</t>
        </is>
      </c>
      <c r="G36" s="6" t="inlineStr">
        <is>
          <t>自研</t>
        </is>
      </c>
      <c r="H36" s="6" t="inlineStr">
        <is>
          <t>—</t>
        </is>
      </c>
      <c r="I36" s="5" t="inlineStr">
        <is>
          <t>M7·P2</t>
        </is>
      </c>
      <c r="J36" s="5" t="inlineStr">
        <is>
          <t>S</t>
        </is>
      </c>
      <c r="K36" s="5" t="inlineStr">
        <is>
          <t>未开始</t>
        </is>
      </c>
      <c r="L36" s="5" t="inlineStr"/>
      <c r="M36" s="5" t="inlineStr"/>
      <c r="N36" s="6" t="inlineStr"/>
    </row>
    <row r="37">
      <c r="A37" s="5" t="inlineStr">
        <is>
          <t>A-36</t>
        </is>
      </c>
      <c r="B37" s="5" t="inlineStr">
        <is>
          <t>后台管理端</t>
        </is>
      </c>
      <c r="C37" s="5" t="inlineStr">
        <is>
          <t>骑手</t>
        </is>
      </c>
      <c r="D37" s="6" t="inlineStr">
        <is>
          <t>提现管理</t>
        </is>
      </c>
      <c r="E37" s="6" t="inlineStr"/>
      <c r="F37" s="9" t="inlineStr">
        <is>
          <t>P2</t>
        </is>
      </c>
      <c r="G37" s="6" t="inlineStr">
        <is>
          <t>自研</t>
        </is>
      </c>
      <c r="H37" s="6" t="inlineStr">
        <is>
          <t>—</t>
        </is>
      </c>
      <c r="I37" s="5" t="inlineStr">
        <is>
          <t>M8·P2</t>
        </is>
      </c>
      <c r="J37" s="5" t="inlineStr">
        <is>
          <t>L</t>
        </is>
      </c>
      <c r="K37" s="5" t="inlineStr">
        <is>
          <t>未开始</t>
        </is>
      </c>
      <c r="L37" s="5" t="inlineStr"/>
      <c r="M37" s="5" t="inlineStr"/>
      <c r="N37" s="6" t="inlineStr">
        <is>
          <t>依赖 X-08 提现域（骑手视角）</t>
        </is>
      </c>
    </row>
    <row r="38">
      <c r="A38" s="5" t="inlineStr">
        <is>
          <t>A-37</t>
        </is>
      </c>
      <c r="B38" s="5" t="inlineStr">
        <is>
          <t>后台管理端</t>
        </is>
      </c>
      <c r="C38" s="5" t="inlineStr">
        <is>
          <t>骑手</t>
        </is>
      </c>
      <c r="D38" s="6" t="inlineStr">
        <is>
          <t>提现账户</t>
        </is>
      </c>
      <c r="E38" s="6" t="inlineStr"/>
      <c r="F38" s="9" t="inlineStr">
        <is>
          <t>P2</t>
        </is>
      </c>
      <c r="G38" s="6" t="inlineStr">
        <is>
          <t>自研</t>
        </is>
      </c>
      <c r="H38" s="6" t="inlineStr">
        <is>
          <t>—</t>
        </is>
      </c>
      <c r="I38" s="5" t="inlineStr">
        <is>
          <t>M8·P2</t>
        </is>
      </c>
      <c r="J38" s="5" t="inlineStr">
        <is>
          <t>M</t>
        </is>
      </c>
      <c r="K38" s="5" t="inlineStr">
        <is>
          <t>未开始</t>
        </is>
      </c>
      <c r="L38" s="5" t="inlineStr"/>
      <c r="M38" s="5" t="inlineStr"/>
      <c r="N38" s="6" t="inlineStr">
        <is>
          <t>依赖 X-08</t>
        </is>
      </c>
    </row>
    <row r="39">
      <c r="A39" s="5" t="inlineStr">
        <is>
          <t>A-38</t>
        </is>
      </c>
      <c r="B39" s="5" t="inlineStr">
        <is>
          <t>后台管理端</t>
        </is>
      </c>
      <c r="C39" s="5" t="inlineStr">
        <is>
          <t>营销</t>
        </is>
      </c>
      <c r="D39" s="6" t="inlineStr">
        <is>
          <t>优惠券管理</t>
        </is>
      </c>
      <c r="E39" s="6" t="inlineStr">
        <is>
          <t>添加优惠券、查看领取等</t>
        </is>
      </c>
      <c r="F39" s="8" t="inlineStr">
        <is>
          <t>P0</t>
        </is>
      </c>
      <c r="G39" s="6" t="inlineStr">
        <is>
          <t>芋道 promotion + yshop 券字段</t>
        </is>
      </c>
      <c r="H39" s="6" t="inlineStr">
        <is>
          <t>yshop</t>
        </is>
      </c>
      <c r="I39" s="5" t="inlineStr">
        <is>
          <t>M4·P0</t>
        </is>
      </c>
      <c r="J39" s="5" t="inlineStr">
        <is>
          <t>M</t>
        </is>
      </c>
      <c r="K39" s="5" t="inlineStr">
        <is>
          <t>未开始</t>
        </is>
      </c>
      <c r="L39" s="5" t="inlineStr"/>
      <c r="M39" s="5" t="inlineStr"/>
      <c r="N39" s="6" t="inlineStr">
        <is>
          <t>券互斥组、适用门店/品类</t>
        </is>
      </c>
    </row>
    <row r="40">
      <c r="A40" s="5" t="inlineStr">
        <is>
          <t>A-39</t>
        </is>
      </c>
      <c r="B40" s="5" t="inlineStr">
        <is>
          <t>后台管理端</t>
        </is>
      </c>
      <c r="C40" s="5" t="inlineStr">
        <is>
          <t>营销</t>
        </is>
      </c>
      <c r="D40" s="6" t="inlineStr">
        <is>
          <t>会员卡功能</t>
        </is>
      </c>
      <c r="E40" s="6" t="inlineStr">
        <is>
          <t>添加会员卡 查看购买记录等</t>
        </is>
      </c>
      <c r="F40" s="7" t="inlineStr">
        <is>
          <t>P1</t>
        </is>
      </c>
      <c r="G40" s="6" t="inlineStr">
        <is>
          <t>自研</t>
        </is>
      </c>
      <c r="H40" s="6" t="inlineStr">
        <is>
          <t>—</t>
        </is>
      </c>
      <c r="I40" s="5" t="inlineStr">
        <is>
          <t>M4·P1</t>
        </is>
      </c>
      <c r="J40" s="5" t="inlineStr">
        <is>
          <t>M</t>
        </is>
      </c>
      <c r="K40" s="5" t="inlineStr">
        <is>
          <t>未开始</t>
        </is>
      </c>
      <c r="L40" s="5" t="inlineStr"/>
      <c r="M40" s="5" t="inlineStr"/>
      <c r="N40" s="6" t="inlineStr">
        <is>
          <t>开源无实现；卡片定义/购买/有效期/权益绑定</t>
        </is>
      </c>
    </row>
    <row r="41">
      <c r="A41" s="5" t="inlineStr">
        <is>
          <t>A-40</t>
        </is>
      </c>
      <c r="B41" s="5" t="inlineStr">
        <is>
          <t>后台管理端</t>
        </is>
      </c>
      <c r="C41" s="5" t="inlineStr">
        <is>
          <t>营销</t>
        </is>
      </c>
      <c r="D41" s="6" t="inlineStr">
        <is>
          <t>积分商城（产品管理、广告图、商品分类）</t>
        </is>
      </c>
      <c r="E41" s="6" t="inlineStr"/>
      <c r="F41" s="7" t="inlineStr">
        <is>
          <t>P1</t>
        </is>
      </c>
      <c r="G41" s="6" t="inlineStr">
        <is>
          <t>yshop score 模块整体移植</t>
        </is>
      </c>
      <c r="H41" s="6" t="inlineStr">
        <is>
          <t>yshop</t>
        </is>
      </c>
      <c r="I41" s="5" t="inlineStr">
        <is>
          <t>M4·P1</t>
        </is>
      </c>
      <c r="J41" s="5" t="inlineStr">
        <is>
          <t>L</t>
        </is>
      </c>
      <c r="K41" s="5" t="inlineStr">
        <is>
          <t>未开始</t>
        </is>
      </c>
      <c r="L41" s="5" t="inlineStr"/>
      <c r="M41" s="5" t="inlineStr"/>
      <c r="N41" s="6" t="inlineStr">
        <is>
          <t>与 A-41 订单管理同域（原行41-42合并单元格拆分）</t>
        </is>
      </c>
    </row>
    <row r="42">
      <c r="A42" s="5" t="inlineStr">
        <is>
          <t>A-41</t>
        </is>
      </c>
      <c r="B42" s="5" t="inlineStr">
        <is>
          <t>后台管理端</t>
        </is>
      </c>
      <c r="C42" s="5" t="inlineStr">
        <is>
          <t>营销</t>
        </is>
      </c>
      <c r="D42" s="6" t="inlineStr">
        <is>
          <t>积分商城-订单管理</t>
        </is>
      </c>
      <c r="E42" s="6" t="inlineStr"/>
      <c r="F42" s="7" t="inlineStr">
        <is>
          <t>P1</t>
        </is>
      </c>
      <c r="G42" s="6" t="inlineStr">
        <is>
          <t>yshop score 移植</t>
        </is>
      </c>
      <c r="H42" s="6" t="inlineStr">
        <is>
          <t>yshop</t>
        </is>
      </c>
      <c r="I42" s="5" t="inlineStr">
        <is>
          <t>M4·P1</t>
        </is>
      </c>
      <c r="J42" s="5" t="inlineStr">
        <is>
          <t>M</t>
        </is>
      </c>
      <c r="K42" s="5" t="inlineStr">
        <is>
          <t>未开始</t>
        </is>
      </c>
      <c r="L42" s="5" t="inlineStr"/>
      <c r="M42" s="5" t="inlineStr"/>
      <c r="N42" s="6" t="inlineStr">
        <is>
          <t>含运费模板三表、实物快递</t>
        </is>
      </c>
    </row>
    <row r="43">
      <c r="A43" s="5" t="inlineStr">
        <is>
          <t>A-42</t>
        </is>
      </c>
      <c r="B43" s="5" t="inlineStr">
        <is>
          <t>后台管理端</t>
        </is>
      </c>
      <c r="C43" s="5" t="inlineStr">
        <is>
          <t>统计</t>
        </is>
      </c>
      <c r="D43" s="6" t="inlineStr">
        <is>
          <t>销售统计</t>
        </is>
      </c>
      <c r="E43" s="6" t="inlineStr"/>
      <c r="F43" s="7" t="inlineStr">
        <is>
          <t>P1</t>
        </is>
      </c>
      <c r="G43" s="6" t="inlineStr">
        <is>
          <t>自研（SQL 聚合）</t>
        </is>
      </c>
      <c r="H43" s="6" t="inlineStr">
        <is>
          <t>—</t>
        </is>
      </c>
      <c r="I43" s="5" t="inlineStr">
        <is>
          <t>M8·P1*</t>
        </is>
      </c>
      <c r="J43" s="5" t="inlineStr">
        <is>
          <t>M</t>
        </is>
      </c>
      <c r="K43" s="5" t="inlineStr">
        <is>
          <t>未开始</t>
        </is>
      </c>
      <c r="L43" s="5" t="inlineStr"/>
      <c r="M43" s="5" t="inlineStr"/>
      <c r="N43" s="6" t="inlineStr">
        <is>
          <t>可提前至 P1 末期；商家端数据面板复用</t>
        </is>
      </c>
    </row>
    <row r="44">
      <c r="A44" s="5" t="inlineStr">
        <is>
          <t>A-43</t>
        </is>
      </c>
      <c r="B44" s="5" t="inlineStr">
        <is>
          <t>后台管理端</t>
        </is>
      </c>
      <c r="C44" s="5" t="inlineStr">
        <is>
          <t>统计</t>
        </is>
      </c>
      <c r="D44" s="6" t="inlineStr">
        <is>
          <t>订单统计</t>
        </is>
      </c>
      <c r="E44" s="6" t="inlineStr"/>
      <c r="F44" s="7" t="inlineStr">
        <is>
          <t>P1</t>
        </is>
      </c>
      <c r="G44" s="6" t="inlineStr">
        <is>
          <t>同 A-42 销售统计</t>
        </is>
      </c>
      <c r="H44" s="6" t="inlineStr">
        <is>
          <t>—</t>
        </is>
      </c>
      <c r="I44" s="5" t="inlineStr">
        <is>
          <t>M8·P1*</t>
        </is>
      </c>
      <c r="J44" s="5" t="inlineStr">
        <is>
          <t>M</t>
        </is>
      </c>
      <c r="K44" s="5" t="inlineStr">
        <is>
          <t>未开始</t>
        </is>
      </c>
      <c r="L44" s="5" t="inlineStr"/>
      <c r="M44" s="5" t="inlineStr"/>
      <c r="N44" s="6" t="inlineStr"/>
    </row>
    <row r="45">
      <c r="A45" s="5" t="inlineStr">
        <is>
          <t>A-44</t>
        </is>
      </c>
      <c r="B45" s="5" t="inlineStr">
        <is>
          <t>后台管理端</t>
        </is>
      </c>
      <c r="C45" s="5" t="inlineStr">
        <is>
          <t>统计</t>
        </is>
      </c>
      <c r="D45" s="6" t="inlineStr">
        <is>
          <t>商品统计</t>
        </is>
      </c>
      <c r="E45" s="6" t="inlineStr"/>
      <c r="F45" s="7" t="inlineStr">
        <is>
          <t>P1</t>
        </is>
      </c>
      <c r="G45" s="6" t="inlineStr">
        <is>
          <t>同 A-42 销售统计</t>
        </is>
      </c>
      <c r="H45" s="6" t="inlineStr">
        <is>
          <t>—</t>
        </is>
      </c>
      <c r="I45" s="5" t="inlineStr">
        <is>
          <t>M8·P1*</t>
        </is>
      </c>
      <c r="J45" s="5" t="inlineStr">
        <is>
          <t>M</t>
        </is>
      </c>
      <c r="K45" s="5" t="inlineStr">
        <is>
          <t>未开始</t>
        </is>
      </c>
      <c r="L45" s="5" t="inlineStr"/>
      <c r="M45" s="5" t="inlineStr"/>
      <c r="N45" s="6" t="inlineStr"/>
    </row>
    <row r="46">
      <c r="A46" s="5" t="inlineStr">
        <is>
          <t>A-45</t>
        </is>
      </c>
      <c r="B46" s="5" t="inlineStr">
        <is>
          <t>后台管理端</t>
        </is>
      </c>
      <c r="C46" s="5" t="inlineStr">
        <is>
          <t>统计</t>
        </is>
      </c>
      <c r="D46" s="6" t="inlineStr">
        <is>
          <t>轮播图</t>
        </is>
      </c>
      <c r="E46" s="6" t="inlineStr"/>
      <c r="F46" s="8" t="inlineStr">
        <is>
          <t>P0</t>
        </is>
      </c>
      <c r="G46" s="6" t="inlineStr">
        <is>
          <t>yshop shopads 移植</t>
        </is>
      </c>
      <c r="H46" s="6" t="inlineStr">
        <is>
          <t>yshop</t>
        </is>
      </c>
      <c r="I46" s="5" t="inlineStr">
        <is>
          <t>M2·P0</t>
        </is>
      </c>
      <c r="J46" s="5" t="inlineStr">
        <is>
          <t>S</t>
        </is>
      </c>
      <c r="K46" s="5" t="inlineStr">
        <is>
          <t>未开始</t>
        </is>
      </c>
      <c r="L46" s="5" t="inlineStr"/>
      <c r="M46" s="5" t="inlineStr"/>
      <c r="N46" s="6" t="inlineStr">
        <is>
          <t>原文件行46无模块归属，按位置归入统计；与 A-08 广告图管理同源</t>
        </is>
      </c>
    </row>
    <row r="47">
      <c r="A47" s="5" t="inlineStr">
        <is>
          <t>A-46</t>
        </is>
      </c>
      <c r="B47" s="5" t="inlineStr">
        <is>
          <t>后台管理端</t>
        </is>
      </c>
      <c r="C47" s="5" t="inlineStr">
        <is>
          <t>财务</t>
        </is>
      </c>
      <c r="D47" s="6" t="inlineStr">
        <is>
          <t>提现管理</t>
        </is>
      </c>
      <c r="E47" s="6" t="inlineStr"/>
      <c r="F47" s="9" t="inlineStr">
        <is>
          <t>P2</t>
        </is>
      </c>
      <c r="G47" s="6" t="inlineStr">
        <is>
          <t>自研</t>
        </is>
      </c>
      <c r="H47" s="6" t="inlineStr">
        <is>
          <t>Jeepay（只读：对账设计）</t>
        </is>
      </c>
      <c r="I47" s="5" t="inlineStr">
        <is>
          <t>M8·P2</t>
        </is>
      </c>
      <c r="J47" s="5" t="inlineStr">
        <is>
          <t>L</t>
        </is>
      </c>
      <c r="K47" s="5" t="inlineStr">
        <is>
          <t>未开始</t>
        </is>
      </c>
      <c r="L47" s="5" t="inlineStr"/>
      <c r="M47" s="5" t="inlineStr"/>
      <c r="N47" s="6" t="inlineStr">
        <is>
          <t>依赖 X-08；商家+骑手双视角</t>
        </is>
      </c>
    </row>
    <row r="48">
      <c r="A48" s="5" t="inlineStr">
        <is>
          <t>A-47</t>
        </is>
      </c>
      <c r="B48" s="5" t="inlineStr">
        <is>
          <t>后台管理端</t>
        </is>
      </c>
      <c r="C48" s="5" t="inlineStr">
        <is>
          <t>财务</t>
        </is>
      </c>
      <c r="D48" s="6" t="inlineStr">
        <is>
          <t>提现账户</t>
        </is>
      </c>
      <c r="E48" s="6" t="inlineStr"/>
      <c r="F48" s="9" t="inlineStr">
        <is>
          <t>P2</t>
        </is>
      </c>
      <c r="G48" s="6" t="inlineStr">
        <is>
          <t>自研</t>
        </is>
      </c>
      <c r="H48" s="6" t="inlineStr">
        <is>
          <t>—</t>
        </is>
      </c>
      <c r="I48" s="5" t="inlineStr">
        <is>
          <t>M8·P2</t>
        </is>
      </c>
      <c r="J48" s="5" t="inlineStr">
        <is>
          <t>M</t>
        </is>
      </c>
      <c r="K48" s="5" t="inlineStr">
        <is>
          <t>未开始</t>
        </is>
      </c>
      <c r="L48" s="5" t="inlineStr"/>
      <c r="M48" s="5" t="inlineStr"/>
      <c r="N48" s="6" t="inlineStr">
        <is>
          <t>依赖 X-08</t>
        </is>
      </c>
    </row>
    <row r="49">
      <c r="A49" s="5" t="inlineStr">
        <is>
          <t>A-48</t>
        </is>
      </c>
      <c r="B49" s="5" t="inlineStr">
        <is>
          <t>后台管理端</t>
        </is>
      </c>
      <c r="C49" s="5" t="inlineStr">
        <is>
          <t>财务</t>
        </is>
      </c>
      <c r="D49" s="6" t="inlineStr">
        <is>
          <t>收支明细</t>
        </is>
      </c>
      <c r="E49" s="6" t="inlineStr"/>
      <c r="F49" s="9" t="inlineStr">
        <is>
          <t>P2</t>
        </is>
      </c>
      <c r="G49" s="6" t="inlineStr">
        <is>
          <t>自研</t>
        </is>
      </c>
      <c r="H49" s="6" t="inlineStr">
        <is>
          <t>—</t>
        </is>
      </c>
      <c r="I49" s="5" t="inlineStr">
        <is>
          <t>M8·P2</t>
        </is>
      </c>
      <c r="J49" s="5" t="inlineStr">
        <is>
          <t>M</t>
        </is>
      </c>
      <c r="K49" s="5" t="inlineStr">
        <is>
          <t>未开始</t>
        </is>
      </c>
      <c r="L49" s="5" t="inlineStr"/>
      <c r="M49" s="5" t="inlineStr"/>
      <c r="N49" s="6" t="inlineStr">
        <is>
          <t>订单收入/退款/抽成科目</t>
        </is>
      </c>
    </row>
    <row r="50">
      <c r="A50" s="5" t="inlineStr">
        <is>
          <t>A-49</t>
        </is>
      </c>
      <c r="B50" s="5" t="inlineStr">
        <is>
          <t>后台管理端</t>
        </is>
      </c>
      <c r="C50" s="5" t="inlineStr">
        <is>
          <t>支付管理</t>
        </is>
      </c>
      <c r="D50" s="6" t="inlineStr">
        <is>
          <t>支付配置</t>
        </is>
      </c>
      <c r="E50" s="6" t="inlineStr">
        <is>
          <t>微信、支付宝等配置</t>
        </is>
      </c>
      <c r="F50" s="8" t="inlineStr">
        <is>
          <t>P0</t>
        </is>
      </c>
      <c r="G50" s="6" t="inlineStr">
        <is>
          <t>芋道 pay</t>
        </is>
      </c>
      <c r="H50" s="6" t="inlineStr">
        <is>
          <t>芋道</t>
        </is>
      </c>
      <c r="I50" s="5" t="inlineStr">
        <is>
          <t>M2·P0</t>
        </is>
      </c>
      <c r="J50" s="5" t="inlineStr">
        <is>
          <t>S</t>
        </is>
      </c>
      <c r="K50" s="5" t="inlineStr">
        <is>
          <t>未开始</t>
        </is>
      </c>
      <c r="L50" s="5" t="inlineStr"/>
      <c r="M50" s="5" t="inlineStr"/>
      <c r="N50" s="6" t="inlineStr">
        <is>
          <t>租户级商户参数（普通商户模式）</t>
        </is>
      </c>
    </row>
    <row r="51">
      <c r="A51" s="5" t="inlineStr">
        <is>
          <t>A-50</t>
        </is>
      </c>
      <c r="B51" s="5" t="inlineStr">
        <is>
          <t>后台管理端</t>
        </is>
      </c>
      <c r="C51" s="5" t="inlineStr">
        <is>
          <t>快递管理</t>
        </is>
      </c>
      <c r="D51" s="6" t="inlineStr">
        <is>
          <t>快递公司</t>
        </is>
      </c>
      <c r="E51" s="6" t="inlineStr">
        <is>
          <t>用的第三方快递100</t>
        </is>
      </c>
      <c r="F51" s="7" t="inlineStr">
        <is>
          <t>P1</t>
        </is>
      </c>
      <c r="G51" s="6" t="inlineStr">
        <is>
          <t>yshop express 移植 + 三方 API</t>
        </is>
      </c>
      <c r="H51" s="6" t="inlineStr">
        <is>
          <t>yshop、快递100</t>
        </is>
      </c>
      <c r="I51" s="5" t="inlineStr">
        <is>
          <t>M4·P1</t>
        </is>
      </c>
      <c r="J51" s="5" t="inlineStr">
        <is>
          <t>S</t>
        </is>
      </c>
      <c r="K51" s="5" t="inlineStr">
        <is>
          <t>未开始</t>
        </is>
      </c>
      <c r="L51" s="5" t="inlineStr"/>
      <c r="M51" s="5" t="inlineStr"/>
      <c r="N51" s="6" t="inlineStr">
        <is>
          <t>服务积分商城实物单</t>
        </is>
      </c>
    </row>
    <row r="52">
      <c r="A52" s="5" t="inlineStr">
        <is>
          <t>A-51</t>
        </is>
      </c>
      <c r="B52" s="5" t="inlineStr">
        <is>
          <t>后台管理端</t>
        </is>
      </c>
      <c r="C52" s="5" t="inlineStr">
        <is>
          <t>快递管理</t>
        </is>
      </c>
      <c r="D52" s="6" t="inlineStr">
        <is>
          <t>同城配送</t>
        </is>
      </c>
      <c r="E52" s="6" t="inlineStr">
        <is>
          <t>添加同城配送公司比如UU跑腿</t>
        </is>
      </c>
      <c r="F52" s="8" t="inlineStr">
        <is>
          <t>P0</t>
        </is>
      </c>
      <c r="G52" s="6" t="inlineStr">
        <is>
          <t>自研（适配器）</t>
        </is>
      </c>
      <c r="H52" s="6" t="inlineStr">
        <is>
          <t>UU跑腿 API</t>
        </is>
      </c>
      <c r="I52" s="5" t="inlineStr">
        <is>
          <t>M2·P0</t>
        </is>
      </c>
      <c r="J52" s="5" t="inlineStr">
        <is>
          <t>L</t>
        </is>
      </c>
      <c r="K52" s="5" t="inlineStr">
        <is>
          <t>未开始</t>
        </is>
      </c>
      <c r="L52" s="5" t="inlineStr"/>
      <c r="M52" s="5" t="inlineStr"/>
      <c r="N52" s="6" t="inlineStr">
        <is>
          <t>原 P1 上调：MVP 外卖依赖；P2 扩展自配送（X-07）</t>
        </is>
      </c>
    </row>
    <row r="53">
      <c r="A53" s="5" t="inlineStr">
        <is>
          <t>A-52</t>
        </is>
      </c>
      <c r="B53" s="5" t="inlineStr">
        <is>
          <t>后台管理端</t>
        </is>
      </c>
      <c r="C53" s="5" t="inlineStr">
        <is>
          <t>快递管理</t>
        </is>
      </c>
      <c r="D53" s="6" t="inlineStr">
        <is>
          <t>快递配置</t>
        </is>
      </c>
      <c r="E53" s="6" t="inlineStr"/>
      <c r="F53" s="7" t="inlineStr">
        <is>
          <t>P1</t>
        </is>
      </c>
      <c r="G53" s="6" t="inlineStr">
        <is>
          <t>自研（配置 CRUD）</t>
        </is>
      </c>
      <c r="H53" s="6" t="inlineStr">
        <is>
          <t>—</t>
        </is>
      </c>
      <c r="I53" s="5" t="inlineStr">
        <is>
          <t>M4·P1</t>
        </is>
      </c>
      <c r="J53" s="5" t="inlineStr">
        <is>
          <t>S</t>
        </is>
      </c>
      <c r="K53" s="5" t="inlineStr">
        <is>
          <t>未开始</t>
        </is>
      </c>
      <c r="L53" s="5" t="inlineStr"/>
      <c r="M53" s="5" t="inlineStr"/>
      <c r="N53" s="6" t="inlineStr">
        <is>
          <t>快递100 API 参数</t>
        </is>
      </c>
    </row>
    <row r="54">
      <c r="A54" s="5" t="inlineStr">
        <is>
          <t>A-53</t>
        </is>
      </c>
      <c r="B54" s="5" t="inlineStr">
        <is>
          <t>后台管理端</t>
        </is>
      </c>
      <c r="C54" s="5" t="inlineStr">
        <is>
          <t>消息管理</t>
        </is>
      </c>
      <c r="D54" s="6" t="inlineStr">
        <is>
          <t>微信消息</t>
        </is>
      </c>
      <c r="E54" s="6" t="inlineStr">
        <is>
          <t>小程序与公众号消息配置</t>
        </is>
      </c>
      <c r="F54" s="7" t="inlineStr">
        <is>
          <t>P1</t>
        </is>
      </c>
      <c r="G54" s="6" t="inlineStr">
        <is>
          <t>芋道 mp + 自研模板</t>
        </is>
      </c>
      <c r="H54" s="6" t="inlineStr">
        <is>
          <t>芋道</t>
        </is>
      </c>
      <c r="I54" s="5" t="inlineStr">
        <is>
          <t>M8·P1*</t>
        </is>
      </c>
      <c r="J54" s="5" t="inlineStr">
        <is>
          <t>M</t>
        </is>
      </c>
      <c r="K54" s="5" t="inlineStr">
        <is>
          <t>未开始</t>
        </is>
      </c>
      <c r="L54" s="5" t="inlineStr"/>
      <c r="M54" s="5" t="inlineStr"/>
      <c r="N54" s="6" t="inlineStr">
        <is>
          <t>订单状态通知；可提前</t>
        </is>
      </c>
    </row>
    <row r="55">
      <c r="A55" s="5" t="inlineStr">
        <is>
          <t>A-54</t>
        </is>
      </c>
      <c r="B55" s="5" t="inlineStr">
        <is>
          <t>后台管理端</t>
        </is>
      </c>
      <c r="C55" s="5" t="inlineStr">
        <is>
          <t>微信管理</t>
        </is>
      </c>
      <c r="D55" s="6" t="inlineStr">
        <is>
          <t>账号管理</t>
        </is>
      </c>
      <c r="E55" s="6" t="inlineStr">
        <is>
          <t>多公众号配置</t>
        </is>
      </c>
      <c r="F55" s="7" t="inlineStr">
        <is>
          <t>P1</t>
        </is>
      </c>
      <c r="G55" s="6" t="inlineStr">
        <is>
          <t>芋道 mp</t>
        </is>
      </c>
      <c r="H55" s="6" t="inlineStr">
        <is>
          <t>芋道</t>
        </is>
      </c>
      <c r="I55" s="5" t="inlineStr">
        <is>
          <t>M8·P1*</t>
        </is>
      </c>
      <c r="J55" s="5" t="inlineStr">
        <is>
          <t>M</t>
        </is>
      </c>
      <c r="K55" s="5" t="inlineStr">
        <is>
          <t>未开始</t>
        </is>
      </c>
      <c r="L55" s="5" t="inlineStr"/>
      <c r="M55" s="5" t="inlineStr"/>
      <c r="N55" s="6" t="inlineStr">
        <is>
          <t>多公众号原生支持</t>
        </is>
      </c>
    </row>
    <row r="56">
      <c r="A56" s="5" t="inlineStr">
        <is>
          <t>A-55</t>
        </is>
      </c>
      <c r="B56" s="5" t="inlineStr">
        <is>
          <t>后台管理端</t>
        </is>
      </c>
      <c r="C56" s="5" t="inlineStr">
        <is>
          <t>微信管理</t>
        </is>
      </c>
      <c r="D56" s="6" t="inlineStr">
        <is>
          <t>数据统计</t>
        </is>
      </c>
      <c r="E56" s="6" t="inlineStr"/>
      <c r="F56" s="7" t="inlineStr">
        <is>
          <t>P1</t>
        </is>
      </c>
      <c r="G56" s="6" t="inlineStr">
        <is>
          <t>芋道 mp</t>
        </is>
      </c>
      <c r="H56" s="6" t="inlineStr">
        <is>
          <t>芋道</t>
        </is>
      </c>
      <c r="I56" s="5" t="inlineStr">
        <is>
          <t>M8·P1*</t>
        </is>
      </c>
      <c r="J56" s="5" t="inlineStr">
        <is>
          <t>S</t>
        </is>
      </c>
      <c r="K56" s="5" t="inlineStr">
        <is>
          <t>未开始</t>
        </is>
      </c>
      <c r="L56" s="5" t="inlineStr"/>
      <c r="M56" s="5" t="inlineStr"/>
      <c r="N56" s="6" t="inlineStr"/>
    </row>
    <row r="57">
      <c r="A57" s="5" t="inlineStr">
        <is>
          <t>A-56</t>
        </is>
      </c>
      <c r="B57" s="5" t="inlineStr">
        <is>
          <t>后台管理端</t>
        </is>
      </c>
      <c r="C57" s="5" t="inlineStr">
        <is>
          <t>微信管理</t>
        </is>
      </c>
      <c r="D57" s="6" t="inlineStr">
        <is>
          <t>标签管理</t>
        </is>
      </c>
      <c r="E57" s="6" t="inlineStr"/>
      <c r="F57" s="7" t="inlineStr">
        <is>
          <t>P1</t>
        </is>
      </c>
      <c r="G57" s="6" t="inlineStr">
        <is>
          <t>芋道 mp</t>
        </is>
      </c>
      <c r="H57" s="6" t="inlineStr">
        <is>
          <t>芋道</t>
        </is>
      </c>
      <c r="I57" s="5" t="inlineStr">
        <is>
          <t>M8·P1*</t>
        </is>
      </c>
      <c r="J57" s="5" t="inlineStr">
        <is>
          <t>S</t>
        </is>
      </c>
      <c r="K57" s="5" t="inlineStr">
        <is>
          <t>未开始</t>
        </is>
      </c>
      <c r="L57" s="5" t="inlineStr"/>
      <c r="M57" s="5" t="inlineStr"/>
      <c r="N57" s="6" t="inlineStr"/>
    </row>
    <row r="58">
      <c r="A58" s="5" t="inlineStr">
        <is>
          <t>A-57</t>
        </is>
      </c>
      <c r="B58" s="5" t="inlineStr">
        <is>
          <t>后台管理端</t>
        </is>
      </c>
      <c r="C58" s="5" t="inlineStr">
        <is>
          <t>微信管理</t>
        </is>
      </c>
      <c r="D58" s="6" t="inlineStr">
        <is>
          <t>粉丝管理</t>
        </is>
      </c>
      <c r="E58" s="6" t="inlineStr"/>
      <c r="F58" s="7" t="inlineStr">
        <is>
          <t>P1</t>
        </is>
      </c>
      <c r="G58" s="6" t="inlineStr">
        <is>
          <t>芋道 mp</t>
        </is>
      </c>
      <c r="H58" s="6" t="inlineStr">
        <is>
          <t>芋道</t>
        </is>
      </c>
      <c r="I58" s="5" t="inlineStr">
        <is>
          <t>M8·P1*</t>
        </is>
      </c>
      <c r="J58" s="5" t="inlineStr">
        <is>
          <t>M</t>
        </is>
      </c>
      <c r="K58" s="5" t="inlineStr">
        <is>
          <t>未开始</t>
        </is>
      </c>
      <c r="L58" s="5" t="inlineStr"/>
      <c r="M58" s="5" t="inlineStr"/>
      <c r="N58" s="6" t="inlineStr"/>
    </row>
    <row r="59">
      <c r="A59" s="5" t="inlineStr">
        <is>
          <t>A-58</t>
        </is>
      </c>
      <c r="B59" s="5" t="inlineStr">
        <is>
          <t>后台管理端</t>
        </is>
      </c>
      <c r="C59" s="5" t="inlineStr">
        <is>
          <t>微信管理</t>
        </is>
      </c>
      <c r="D59" s="6" t="inlineStr">
        <is>
          <t>消息管理</t>
        </is>
      </c>
      <c r="E59" s="6" t="inlineStr"/>
      <c r="F59" s="7" t="inlineStr">
        <is>
          <t>P1</t>
        </is>
      </c>
      <c r="G59" s="6" t="inlineStr">
        <is>
          <t>芋道 mp</t>
        </is>
      </c>
      <c r="H59" s="6" t="inlineStr">
        <is>
          <t>芋道</t>
        </is>
      </c>
      <c r="I59" s="5" t="inlineStr">
        <is>
          <t>M8·P1*</t>
        </is>
      </c>
      <c r="J59" s="5" t="inlineStr">
        <is>
          <t>M</t>
        </is>
      </c>
      <c r="K59" s="5" t="inlineStr">
        <is>
          <t>未开始</t>
        </is>
      </c>
      <c r="L59" s="5" t="inlineStr"/>
      <c r="M59" s="5" t="inlineStr"/>
      <c r="N59" s="6" t="inlineStr"/>
    </row>
    <row r="60">
      <c r="A60" s="5" t="inlineStr">
        <is>
          <t>A-59</t>
        </is>
      </c>
      <c r="B60" s="5" t="inlineStr">
        <is>
          <t>后台管理端</t>
        </is>
      </c>
      <c r="C60" s="5" t="inlineStr">
        <is>
          <t>微信管理</t>
        </is>
      </c>
      <c r="D60" s="6" t="inlineStr">
        <is>
          <t>菜单管理</t>
        </is>
      </c>
      <c r="E60" s="6" t="inlineStr"/>
      <c r="F60" s="7" t="inlineStr">
        <is>
          <t>P1</t>
        </is>
      </c>
      <c r="G60" s="6" t="inlineStr">
        <is>
          <t>芋道 mp</t>
        </is>
      </c>
      <c r="H60" s="6" t="inlineStr">
        <is>
          <t>芋道</t>
        </is>
      </c>
      <c r="I60" s="5" t="inlineStr">
        <is>
          <t>M8·P1*</t>
        </is>
      </c>
      <c r="J60" s="5" t="inlineStr">
        <is>
          <t>S</t>
        </is>
      </c>
      <c r="K60" s="5" t="inlineStr">
        <is>
          <t>未开始</t>
        </is>
      </c>
      <c r="L60" s="5" t="inlineStr"/>
      <c r="M60" s="5" t="inlineStr"/>
      <c r="N60" s="6" t="inlineStr"/>
    </row>
    <row r="61">
      <c r="A61" s="5" t="inlineStr">
        <is>
          <t>A-60</t>
        </is>
      </c>
      <c r="B61" s="5" t="inlineStr">
        <is>
          <t>后台管理端</t>
        </is>
      </c>
      <c r="C61" s="5" t="inlineStr">
        <is>
          <t>微信管理</t>
        </is>
      </c>
      <c r="D61" s="6" t="inlineStr">
        <is>
          <t>自动回复</t>
        </is>
      </c>
      <c r="E61" s="6" t="inlineStr"/>
      <c r="F61" s="7" t="inlineStr">
        <is>
          <t>P1</t>
        </is>
      </c>
      <c r="G61" s="6" t="inlineStr">
        <is>
          <t>芋道 mp</t>
        </is>
      </c>
      <c r="H61" s="6" t="inlineStr">
        <is>
          <t>芋道</t>
        </is>
      </c>
      <c r="I61" s="5" t="inlineStr">
        <is>
          <t>M8·P1*</t>
        </is>
      </c>
      <c r="J61" s="5" t="inlineStr">
        <is>
          <t>S</t>
        </is>
      </c>
      <c r="K61" s="5" t="inlineStr">
        <is>
          <t>未开始</t>
        </is>
      </c>
      <c r="L61" s="5" t="inlineStr"/>
      <c r="M61" s="5" t="inlineStr"/>
      <c r="N61" s="6" t="inlineStr"/>
    </row>
    <row r="62">
      <c r="A62" s="5" t="inlineStr">
        <is>
          <t>A-61</t>
        </is>
      </c>
      <c r="B62" s="5" t="inlineStr">
        <is>
          <t>后台管理端</t>
        </is>
      </c>
      <c r="C62" s="5" t="inlineStr">
        <is>
          <t>微信管理</t>
        </is>
      </c>
      <c r="D62" s="6" t="inlineStr">
        <is>
          <t>素材管理</t>
        </is>
      </c>
      <c r="E62" s="6" t="inlineStr"/>
      <c r="F62" s="7" t="inlineStr">
        <is>
          <t>P1</t>
        </is>
      </c>
      <c r="G62" s="6" t="inlineStr">
        <is>
          <t>芋道 mp</t>
        </is>
      </c>
      <c r="H62" s="6" t="inlineStr">
        <is>
          <t>芋道</t>
        </is>
      </c>
      <c r="I62" s="5" t="inlineStr">
        <is>
          <t>M8·P1*</t>
        </is>
      </c>
      <c r="J62" s="5" t="inlineStr">
        <is>
          <t>M</t>
        </is>
      </c>
      <c r="K62" s="5" t="inlineStr">
        <is>
          <t>未开始</t>
        </is>
      </c>
      <c r="L62" s="5" t="inlineStr"/>
      <c r="M62" s="5" t="inlineStr"/>
      <c r="N62" s="6" t="inlineStr"/>
    </row>
    <row r="63">
      <c r="A63" s="5" t="inlineStr">
        <is>
          <t>A-62</t>
        </is>
      </c>
      <c r="B63" s="5" t="inlineStr">
        <is>
          <t>后台管理端</t>
        </is>
      </c>
      <c r="C63" s="5" t="inlineStr">
        <is>
          <t>微信管理</t>
        </is>
      </c>
      <c r="D63" s="6" t="inlineStr">
        <is>
          <t>图文草稿</t>
        </is>
      </c>
      <c r="E63" s="6" t="inlineStr"/>
      <c r="F63" s="7" t="inlineStr">
        <is>
          <t>P1</t>
        </is>
      </c>
      <c r="G63" s="6" t="inlineStr">
        <is>
          <t>芋道 mp</t>
        </is>
      </c>
      <c r="H63" s="6" t="inlineStr">
        <is>
          <t>芋道</t>
        </is>
      </c>
      <c r="I63" s="5" t="inlineStr">
        <is>
          <t>M8·P1*</t>
        </is>
      </c>
      <c r="J63" s="5" t="inlineStr">
        <is>
          <t>M</t>
        </is>
      </c>
      <c r="K63" s="5" t="inlineStr">
        <is>
          <t>未开始</t>
        </is>
      </c>
      <c r="L63" s="5" t="inlineStr"/>
      <c r="M63" s="5" t="inlineStr"/>
      <c r="N63" s="6" t="inlineStr"/>
    </row>
    <row r="64">
      <c r="A64" s="5" t="inlineStr">
        <is>
          <t>A-63</t>
        </is>
      </c>
      <c r="B64" s="5" t="inlineStr">
        <is>
          <t>后台管理端</t>
        </is>
      </c>
      <c r="C64" s="5" t="inlineStr">
        <is>
          <t>微信管理</t>
        </is>
      </c>
      <c r="D64" s="6" t="inlineStr">
        <is>
          <t>图文记录</t>
        </is>
      </c>
      <c r="E64" s="6" t="inlineStr"/>
      <c r="F64" s="7" t="inlineStr">
        <is>
          <t>P1</t>
        </is>
      </c>
      <c r="G64" s="6" t="inlineStr">
        <is>
          <t>芋道 mp</t>
        </is>
      </c>
      <c r="H64" s="6" t="inlineStr">
        <is>
          <t>芋道</t>
        </is>
      </c>
      <c r="I64" s="5" t="inlineStr">
        <is>
          <t>M8·P1*</t>
        </is>
      </c>
      <c r="J64" s="5" t="inlineStr">
        <is>
          <t>S</t>
        </is>
      </c>
      <c r="K64" s="5" t="inlineStr">
        <is>
          <t>未开始</t>
        </is>
      </c>
      <c r="L64" s="5" t="inlineStr"/>
      <c r="M64" s="5" t="inlineStr"/>
      <c r="N64" s="6" t="inlineStr"/>
    </row>
    <row r="65">
      <c r="A65" s="5" t="inlineStr">
        <is>
          <t>A-64</t>
        </is>
      </c>
      <c r="B65" s="5" t="inlineStr">
        <is>
          <t>后台管理端</t>
        </is>
      </c>
      <c r="C65" s="5" t="inlineStr">
        <is>
          <t>微信管理</t>
        </is>
      </c>
      <c r="D65" s="6" t="inlineStr">
        <is>
          <t>微信菜单</t>
        </is>
      </c>
      <c r="E65" s="6" t="inlineStr"/>
      <c r="F65" s="7" t="inlineStr">
        <is>
          <t>P1</t>
        </is>
      </c>
      <c r="G65" s="6" t="inlineStr">
        <is>
          <t>芋道 mp</t>
        </is>
      </c>
      <c r="H65" s="6" t="inlineStr">
        <is>
          <t>芋道</t>
        </is>
      </c>
      <c r="I65" s="5" t="inlineStr">
        <is>
          <t>M8·P1*</t>
        </is>
      </c>
      <c r="J65" s="5" t="inlineStr">
        <is>
          <t>S</t>
        </is>
      </c>
      <c r="K65" s="5" t="inlineStr">
        <is>
          <t>未开始</t>
        </is>
      </c>
      <c r="L65" s="5" t="inlineStr"/>
      <c r="M65" s="5" t="inlineStr"/>
      <c r="N65" s="6" t="inlineStr">
        <is>
          <t>原行65起为配置子块；与 A-59 菜单管理同域（小程序侧）</t>
        </is>
      </c>
    </row>
    <row r="66">
      <c r="A66" s="5" t="inlineStr">
        <is>
          <t>A-65</t>
        </is>
      </c>
      <c r="B66" s="5" t="inlineStr">
        <is>
          <t>后台管理端</t>
        </is>
      </c>
      <c r="C66" s="5" t="inlineStr">
        <is>
          <t>微信管理</t>
        </is>
      </c>
      <c r="D66" s="6" t="inlineStr">
        <is>
          <t>图文管理</t>
        </is>
      </c>
      <c r="E66" s="6" t="inlineStr"/>
      <c r="F66" s="7" t="inlineStr">
        <is>
          <t>P1</t>
        </is>
      </c>
      <c r="G66" s="6" t="inlineStr">
        <is>
          <t>芋道 mp</t>
        </is>
      </c>
      <c r="H66" s="6" t="inlineStr">
        <is>
          <t>芋道</t>
        </is>
      </c>
      <c r="I66" s="5" t="inlineStr">
        <is>
          <t>M8·P1*</t>
        </is>
      </c>
      <c r="J66" s="5" t="inlineStr">
        <is>
          <t>S</t>
        </is>
      </c>
      <c r="K66" s="5" t="inlineStr">
        <is>
          <t>未开始</t>
        </is>
      </c>
      <c r="L66" s="5" t="inlineStr"/>
      <c r="M66" s="5" t="inlineStr"/>
      <c r="N66" s="6" t="inlineStr">
        <is>
          <t>与 A-62/63 同域</t>
        </is>
      </c>
    </row>
    <row r="67">
      <c r="A67" s="5" t="inlineStr">
        <is>
          <t>A-66</t>
        </is>
      </c>
      <c r="B67" s="5" t="inlineStr">
        <is>
          <t>后台管理端</t>
        </is>
      </c>
      <c r="C67" s="5" t="inlineStr">
        <is>
          <t>微信管理</t>
        </is>
      </c>
      <c r="D67" s="6" t="inlineStr">
        <is>
          <t>自动回复</t>
        </is>
      </c>
      <c r="E67" s="6" t="inlineStr"/>
      <c r="F67" s="7" t="inlineStr">
        <is>
          <t>P1</t>
        </is>
      </c>
      <c r="G67" s="6" t="inlineStr">
        <is>
          <t>芋道 mp</t>
        </is>
      </c>
      <c r="H67" s="6" t="inlineStr">
        <is>
          <t>芋道</t>
        </is>
      </c>
      <c r="I67" s="5" t="inlineStr">
        <is>
          <t>M8·P1*</t>
        </is>
      </c>
      <c r="J67" s="5" t="inlineStr">
        <is>
          <t>S</t>
        </is>
      </c>
      <c r="K67" s="5" t="inlineStr">
        <is>
          <t>未开始</t>
        </is>
      </c>
      <c r="L67" s="5" t="inlineStr"/>
      <c r="M67" s="5" t="inlineStr"/>
      <c r="N67" s="6" t="inlineStr">
        <is>
          <t>与 A-60 同域（小程序侧）</t>
        </is>
      </c>
    </row>
    <row r="68">
      <c r="A68" s="5" t="inlineStr">
        <is>
          <t>A-67</t>
        </is>
      </c>
      <c r="B68" s="5" t="inlineStr">
        <is>
          <t>后台管理端</t>
        </is>
      </c>
      <c r="C68" s="5" t="inlineStr">
        <is>
          <t>微信管理</t>
        </is>
      </c>
      <c r="D68" s="6" t="inlineStr">
        <is>
          <t>公众号配置</t>
        </is>
      </c>
      <c r="E68" s="6" t="inlineStr"/>
      <c r="F68" s="7" t="inlineStr">
        <is>
          <t>P1</t>
        </is>
      </c>
      <c r="G68" s="6" t="inlineStr">
        <is>
          <t>芋道 mp</t>
        </is>
      </c>
      <c r="H68" s="6" t="inlineStr">
        <is>
          <t>芋道</t>
        </is>
      </c>
      <c r="I68" s="5" t="inlineStr">
        <is>
          <t>M8·P1*</t>
        </is>
      </c>
      <c r="J68" s="5" t="inlineStr">
        <is>
          <t>S</t>
        </is>
      </c>
      <c r="K68" s="5" t="inlineStr">
        <is>
          <t>未开始</t>
        </is>
      </c>
      <c r="L68" s="5" t="inlineStr"/>
      <c r="M68" s="5" t="inlineStr"/>
      <c r="N68" s="6" t="inlineStr"/>
    </row>
    <row r="69">
      <c r="A69" s="5" t="inlineStr">
        <is>
          <t>A-68</t>
        </is>
      </c>
      <c r="B69" s="5" t="inlineStr">
        <is>
          <t>后台管理端</t>
        </is>
      </c>
      <c r="C69" s="5" t="inlineStr">
        <is>
          <t>微信管理</t>
        </is>
      </c>
      <c r="D69" s="6" t="inlineStr">
        <is>
          <t>微信支付配置</t>
        </is>
      </c>
      <c r="E69" s="6" t="inlineStr"/>
      <c r="F69" s="8" t="inlineStr">
        <is>
          <t>P0</t>
        </is>
      </c>
      <c r="G69" s="6" t="inlineStr">
        <is>
          <t>芋道 pay</t>
        </is>
      </c>
      <c r="H69" s="6" t="inlineStr">
        <is>
          <t>芋道</t>
        </is>
      </c>
      <c r="I69" s="5" t="inlineStr">
        <is>
          <t>M2·P0</t>
        </is>
      </c>
      <c r="J69" s="5" t="inlineStr">
        <is>
          <t>S</t>
        </is>
      </c>
      <c r="K69" s="5" t="inlineStr">
        <is>
          <t>未开始</t>
        </is>
      </c>
      <c r="L69" s="5" t="inlineStr"/>
      <c r="M69" s="5" t="inlineStr"/>
      <c r="N69" s="6" t="inlineStr">
        <is>
          <t>与 A-49 支付配置同域（微信渠道参数）</t>
        </is>
      </c>
    </row>
    <row r="70">
      <c r="A70" s="5" t="inlineStr">
        <is>
          <t>A-69</t>
        </is>
      </c>
      <c r="B70" s="5" t="inlineStr">
        <is>
          <t>后台管理端</t>
        </is>
      </c>
      <c r="C70" s="5" t="inlineStr">
        <is>
          <t>微信管理</t>
        </is>
      </c>
      <c r="D70" s="6" t="inlineStr">
        <is>
          <t>微信模板消息配置</t>
        </is>
      </c>
      <c r="E70" s="6" t="inlineStr"/>
      <c r="F70" s="7" t="inlineStr">
        <is>
          <t>P1</t>
        </is>
      </c>
      <c r="G70" s="6" t="inlineStr">
        <is>
          <t>芋道 mp + 自研模板</t>
        </is>
      </c>
      <c r="H70" s="6" t="inlineStr">
        <is>
          <t>芋道</t>
        </is>
      </c>
      <c r="I70" s="5" t="inlineStr">
        <is>
          <t>M8·P1*</t>
        </is>
      </c>
      <c r="J70" s="5" t="inlineStr">
        <is>
          <t>S</t>
        </is>
      </c>
      <c r="K70" s="5" t="inlineStr">
        <is>
          <t>未开始</t>
        </is>
      </c>
      <c r="L70" s="5" t="inlineStr"/>
      <c r="M70" s="5" t="inlineStr"/>
      <c r="N70" s="6" t="inlineStr">
        <is>
          <t>与 A-53 微信消息同域</t>
        </is>
      </c>
    </row>
    <row r="71">
      <c r="A71" s="5" t="inlineStr">
        <is>
          <t>A-70</t>
        </is>
      </c>
      <c r="B71" s="5" t="inlineStr">
        <is>
          <t>后台管理端</t>
        </is>
      </c>
      <c r="C71" s="5" t="inlineStr">
        <is>
          <t>微信管理</t>
        </is>
      </c>
      <c r="D71" s="6" t="inlineStr">
        <is>
          <t>小程序配置</t>
        </is>
      </c>
      <c r="E71" s="6" t="inlineStr"/>
      <c r="F71" s="8" t="inlineStr">
        <is>
          <t>P0</t>
        </is>
      </c>
      <c r="G71" s="6" t="inlineStr">
        <is>
          <t>芋道 + 自研</t>
        </is>
      </c>
      <c r="H71" s="6" t="inlineStr">
        <is>
          <t>芋道</t>
        </is>
      </c>
      <c r="I71" s="5" t="inlineStr">
        <is>
          <t>M2·P0</t>
        </is>
      </c>
      <c r="J71" s="5" t="inlineStr">
        <is>
          <t>S</t>
        </is>
      </c>
      <c r="K71" s="5" t="inlineStr">
        <is>
          <t>未开始</t>
        </is>
      </c>
      <c r="L71" s="5" t="inlineStr"/>
      <c r="M71" s="5" t="inlineStr"/>
      <c r="N71" s="6" t="inlineStr">
        <is>
          <t>租户小程序接入配置；P2 由 X-11 第三方平台代接入</t>
        </is>
      </c>
    </row>
    <row r="72">
      <c r="A72" s="5" t="inlineStr">
        <is>
          <t>A-71</t>
        </is>
      </c>
      <c r="B72" s="5" t="inlineStr">
        <is>
          <t>后台管理端</t>
        </is>
      </c>
      <c r="C72" s="5" t="inlineStr">
        <is>
          <t>基础设施</t>
        </is>
      </c>
      <c r="D72" s="6" t="inlineStr">
        <is>
          <t>代码生成</t>
        </is>
      </c>
      <c r="E72" s="6" t="inlineStr">
        <is>
          <t>生产Java vue sql等文件</t>
        </is>
      </c>
      <c r="F72" s="8" t="inlineStr">
        <is>
          <t>P0</t>
        </is>
      </c>
      <c r="G72" s="6" t="inlineStr">
        <is>
          <t>芋道 infra</t>
        </is>
      </c>
      <c r="H72" s="6" t="inlineStr">
        <is>
          <t>芋道</t>
        </is>
      </c>
      <c r="I72" s="5" t="inlineStr">
        <is>
          <t>M0·P0</t>
        </is>
      </c>
      <c r="J72" s="5" t="inlineStr">
        <is>
          <t>—</t>
        </is>
      </c>
      <c r="K72" s="5" t="inlineStr">
        <is>
          <t>未开始</t>
        </is>
      </c>
      <c r="L72" s="5" t="inlineStr"/>
      <c r="M72" s="5" t="inlineStr"/>
      <c r="N72" s="6" t="inlineStr">
        <is>
          <t>底座自带，裁剪后验证</t>
        </is>
      </c>
    </row>
    <row r="73">
      <c r="A73" s="5" t="inlineStr">
        <is>
          <t>A-72</t>
        </is>
      </c>
      <c r="B73" s="5" t="inlineStr">
        <is>
          <t>后台管理端</t>
        </is>
      </c>
      <c r="C73" s="5" t="inlineStr">
        <is>
          <t>基础设施</t>
        </is>
      </c>
      <c r="D73" s="6" t="inlineStr">
        <is>
          <t>数据源配置</t>
        </is>
      </c>
      <c r="E73" s="6" t="inlineStr"/>
      <c r="F73" s="8" t="inlineStr">
        <is>
          <t>P0</t>
        </is>
      </c>
      <c r="G73" s="6" t="inlineStr">
        <is>
          <t>芋道 infra</t>
        </is>
      </c>
      <c r="H73" s="6" t="inlineStr">
        <is>
          <t>芋道</t>
        </is>
      </c>
      <c r="I73" s="5" t="inlineStr">
        <is>
          <t>M0·P0</t>
        </is>
      </c>
      <c r="J73" s="5" t="inlineStr">
        <is>
          <t>—</t>
        </is>
      </c>
      <c r="K73" s="5" t="inlineStr">
        <is>
          <t>未开始</t>
        </is>
      </c>
      <c r="L73" s="5" t="inlineStr"/>
      <c r="M73" s="5" t="inlineStr"/>
      <c r="N73" s="6" t="inlineStr">
        <is>
          <t>底座自带</t>
        </is>
      </c>
    </row>
    <row r="74">
      <c r="A74" s="5" t="inlineStr">
        <is>
          <t>A-73</t>
        </is>
      </c>
      <c r="B74" s="5" t="inlineStr">
        <is>
          <t>后台管理端</t>
        </is>
      </c>
      <c r="C74" s="5" t="inlineStr">
        <is>
          <t>基础设施</t>
        </is>
      </c>
      <c r="D74" s="6" t="inlineStr">
        <is>
          <t>表单构建</t>
        </is>
      </c>
      <c r="E74" s="6" t="inlineStr"/>
      <c r="F74" s="8" t="inlineStr">
        <is>
          <t>P0</t>
        </is>
      </c>
      <c r="G74" s="6" t="inlineStr">
        <is>
          <t>芋道 infra</t>
        </is>
      </c>
      <c r="H74" s="6" t="inlineStr">
        <is>
          <t>芋道</t>
        </is>
      </c>
      <c r="I74" s="5" t="inlineStr">
        <is>
          <t>M0·P0</t>
        </is>
      </c>
      <c r="J74" s="5" t="inlineStr">
        <is>
          <t>—</t>
        </is>
      </c>
      <c r="K74" s="5" t="inlineStr">
        <is>
          <t>未开始</t>
        </is>
      </c>
      <c r="L74" s="5" t="inlineStr"/>
      <c r="M74" s="5" t="inlineStr"/>
      <c r="N74" s="6" t="inlineStr">
        <is>
          <t>底座自带</t>
        </is>
      </c>
    </row>
    <row r="75">
      <c r="A75" s="5" t="inlineStr">
        <is>
          <t>A-74</t>
        </is>
      </c>
      <c r="B75" s="5" t="inlineStr">
        <is>
          <t>后台管理端</t>
        </is>
      </c>
      <c r="C75" s="5" t="inlineStr">
        <is>
          <t>基础设施</t>
        </is>
      </c>
      <c r="D75" s="6" t="inlineStr">
        <is>
          <t>系统接口</t>
        </is>
      </c>
      <c r="E75" s="6" t="inlineStr">
        <is>
          <t>api文档</t>
        </is>
      </c>
      <c r="F75" s="8" t="inlineStr">
        <is>
          <t>P0</t>
        </is>
      </c>
      <c r="G75" s="6" t="inlineStr">
        <is>
          <t>芋道 infra（Knife4j）</t>
        </is>
      </c>
      <c r="H75" s="6" t="inlineStr">
        <is>
          <t>芋道</t>
        </is>
      </c>
      <c r="I75" s="5" t="inlineStr">
        <is>
          <t>M0·P0</t>
        </is>
      </c>
      <c r="J75" s="5" t="inlineStr">
        <is>
          <t>—</t>
        </is>
      </c>
      <c r="K75" s="5" t="inlineStr">
        <is>
          <t>未开始</t>
        </is>
      </c>
      <c r="L75" s="5" t="inlineStr"/>
      <c r="M75" s="5" t="inlineStr"/>
      <c r="N75" s="6" t="inlineStr">
        <is>
          <t>boot4 starter</t>
        </is>
      </c>
    </row>
    <row r="76">
      <c r="A76" s="5" t="inlineStr">
        <is>
          <t>A-75</t>
        </is>
      </c>
      <c r="B76" s="5" t="inlineStr">
        <is>
          <t>后台管理端</t>
        </is>
      </c>
      <c r="C76" s="5" t="inlineStr">
        <is>
          <t>基础设施</t>
        </is>
      </c>
      <c r="D76" s="6" t="inlineStr">
        <is>
          <t>数据库文档</t>
        </is>
      </c>
      <c r="E76" s="6" t="inlineStr"/>
      <c r="F76" s="8" t="inlineStr">
        <is>
          <t>P0</t>
        </is>
      </c>
      <c r="G76" s="6" t="inlineStr">
        <is>
          <t>芋道 infra</t>
        </is>
      </c>
      <c r="H76" s="6" t="inlineStr">
        <is>
          <t>芋道</t>
        </is>
      </c>
      <c r="I76" s="5" t="inlineStr">
        <is>
          <t>M0·P0</t>
        </is>
      </c>
      <c r="J76" s="5" t="inlineStr">
        <is>
          <t>—</t>
        </is>
      </c>
      <c r="K76" s="5" t="inlineStr">
        <is>
          <t>未开始</t>
        </is>
      </c>
      <c r="L76" s="5" t="inlineStr"/>
      <c r="M76" s="5" t="inlineStr"/>
      <c r="N76" s="6" t="inlineStr">
        <is>
          <t>底座自带</t>
        </is>
      </c>
    </row>
    <row r="77">
      <c r="A77" s="5" t="inlineStr">
        <is>
          <t>A-76</t>
        </is>
      </c>
      <c r="B77" s="5" t="inlineStr">
        <is>
          <t>后台管理端</t>
        </is>
      </c>
      <c r="C77" s="5" t="inlineStr">
        <is>
          <t>基础设施</t>
        </is>
      </c>
      <c r="D77" s="6" t="inlineStr">
        <is>
          <t>文件管理</t>
        </is>
      </c>
      <c r="E77" s="6" t="inlineStr">
        <is>
          <t>文件配置与文件列表</t>
        </is>
      </c>
      <c r="F77" s="8" t="inlineStr">
        <is>
          <t>P0</t>
        </is>
      </c>
      <c r="G77" s="6" t="inlineStr">
        <is>
          <t>芋道 infra file（OSS）</t>
        </is>
      </c>
      <c r="H77" s="6" t="inlineStr">
        <is>
          <t>芋道</t>
        </is>
      </c>
      <c r="I77" s="5" t="inlineStr">
        <is>
          <t>M0·P0</t>
        </is>
      </c>
      <c r="J77" s="5" t="inlineStr">
        <is>
          <t>—</t>
        </is>
      </c>
      <c r="K77" s="5" t="inlineStr">
        <is>
          <t>未开始</t>
        </is>
      </c>
      <c r="L77" s="5" t="inlineStr"/>
      <c r="M77" s="5" t="inlineStr"/>
      <c r="N77" s="6" t="inlineStr">
        <is>
          <t>yshop material 可作素材库补充（M1）</t>
        </is>
      </c>
    </row>
    <row r="78">
      <c r="A78" s="5" t="inlineStr">
        <is>
          <t>A-77</t>
        </is>
      </c>
      <c r="B78" s="5" t="inlineStr">
        <is>
          <t>后台管理端</t>
        </is>
      </c>
      <c r="C78" s="5" t="inlineStr">
        <is>
          <t>基础设施</t>
        </is>
      </c>
      <c r="D78" s="6" t="inlineStr">
        <is>
          <t>配置管理</t>
        </is>
      </c>
      <c r="E78" s="6" t="inlineStr"/>
      <c r="F78" s="8" t="inlineStr">
        <is>
          <t>P0</t>
        </is>
      </c>
      <c r="G78" s="6" t="inlineStr">
        <is>
          <t>芋道 infra</t>
        </is>
      </c>
      <c r="H78" s="6" t="inlineStr">
        <is>
          <t>芋道</t>
        </is>
      </c>
      <c r="I78" s="5" t="inlineStr">
        <is>
          <t>M0·P0</t>
        </is>
      </c>
      <c r="J78" s="5" t="inlineStr">
        <is>
          <t>—</t>
        </is>
      </c>
      <c r="K78" s="5" t="inlineStr">
        <is>
          <t>未开始</t>
        </is>
      </c>
      <c r="L78" s="5" t="inlineStr"/>
      <c r="M78" s="5" t="inlineStr"/>
      <c r="N78" s="6" t="inlineStr">
        <is>
          <t>底座自带</t>
        </is>
      </c>
    </row>
    <row r="79">
      <c r="A79" s="5" t="inlineStr">
        <is>
          <t>A-78</t>
        </is>
      </c>
      <c r="B79" s="5" t="inlineStr">
        <is>
          <t>后台管理端</t>
        </is>
      </c>
      <c r="C79" s="5" t="inlineStr">
        <is>
          <t>基础设施</t>
        </is>
      </c>
      <c r="D79" s="6" t="inlineStr">
        <is>
          <t>API日志</t>
        </is>
      </c>
      <c r="E79" s="6" t="inlineStr">
        <is>
          <t>访问日志、错误日志</t>
        </is>
      </c>
      <c r="F79" s="8" t="inlineStr">
        <is>
          <t>P0</t>
        </is>
      </c>
      <c r="G79" s="6" t="inlineStr">
        <is>
          <t>芋道 infra</t>
        </is>
      </c>
      <c r="H79" s="6" t="inlineStr">
        <is>
          <t>芋道</t>
        </is>
      </c>
      <c r="I79" s="5" t="inlineStr">
        <is>
          <t>M0·P0</t>
        </is>
      </c>
      <c r="J79" s="5" t="inlineStr">
        <is>
          <t>—</t>
        </is>
      </c>
      <c r="K79" s="5" t="inlineStr">
        <is>
          <t>未开始</t>
        </is>
      </c>
      <c r="L79" s="5" t="inlineStr"/>
      <c r="M79" s="5" t="inlineStr"/>
      <c r="N79" s="6" t="inlineStr">
        <is>
          <t>底座自带</t>
        </is>
      </c>
    </row>
    <row r="80">
      <c r="A80" s="5" t="inlineStr">
        <is>
          <t>A-79</t>
        </is>
      </c>
      <c r="B80" s="5" t="inlineStr">
        <is>
          <t>后台管理端</t>
        </is>
      </c>
      <c r="C80" s="5" t="inlineStr">
        <is>
          <t>基础设施</t>
        </is>
      </c>
      <c r="D80" s="6" t="inlineStr">
        <is>
          <t>MySQL监控</t>
        </is>
      </c>
      <c r="E80" s="6" t="inlineStr"/>
      <c r="F80" s="8" t="inlineStr">
        <is>
          <t>P0</t>
        </is>
      </c>
      <c r="G80" s="6" t="inlineStr">
        <is>
          <t>芋道 infra</t>
        </is>
      </c>
      <c r="H80" s="6" t="inlineStr">
        <is>
          <t>芋道</t>
        </is>
      </c>
      <c r="I80" s="5" t="inlineStr">
        <is>
          <t>M0·P0</t>
        </is>
      </c>
      <c r="J80" s="5" t="inlineStr">
        <is>
          <t>—</t>
        </is>
      </c>
      <c r="K80" s="5" t="inlineStr">
        <is>
          <t>未开始</t>
        </is>
      </c>
      <c r="L80" s="5" t="inlineStr"/>
      <c r="M80" s="5" t="inlineStr"/>
      <c r="N80" s="6" t="inlineStr">
        <is>
          <t>底座自带</t>
        </is>
      </c>
    </row>
    <row r="81">
      <c r="A81" s="5" t="inlineStr">
        <is>
          <t>A-80</t>
        </is>
      </c>
      <c r="B81" s="5" t="inlineStr">
        <is>
          <t>后台管理端</t>
        </is>
      </c>
      <c r="C81" s="5" t="inlineStr">
        <is>
          <t>基础设施</t>
        </is>
      </c>
      <c r="D81" s="6" t="inlineStr">
        <is>
          <t>Redis监控（原'redis监控'）</t>
        </is>
      </c>
      <c r="E81" s="6" t="inlineStr"/>
      <c r="F81" s="8" t="inlineStr">
        <is>
          <t>P0</t>
        </is>
      </c>
      <c r="G81" s="6" t="inlineStr">
        <is>
          <t>芋道 infra</t>
        </is>
      </c>
      <c r="H81" s="6" t="inlineStr">
        <is>
          <t>芋道</t>
        </is>
      </c>
      <c r="I81" s="5" t="inlineStr">
        <is>
          <t>M0·P0</t>
        </is>
      </c>
      <c r="J81" s="5" t="inlineStr">
        <is>
          <t>—</t>
        </is>
      </c>
      <c r="K81" s="5" t="inlineStr">
        <is>
          <t>未开始</t>
        </is>
      </c>
      <c r="L81" s="5" t="inlineStr"/>
      <c r="M81" s="5" t="inlineStr"/>
      <c r="N81" s="6" t="inlineStr">
        <is>
          <t>底座自带</t>
        </is>
      </c>
    </row>
    <row r="82">
      <c r="A82" s="5" t="inlineStr">
        <is>
          <t>A-81</t>
        </is>
      </c>
      <c r="B82" s="5" t="inlineStr">
        <is>
          <t>后台管理端</t>
        </is>
      </c>
      <c r="C82" s="5" t="inlineStr">
        <is>
          <t>基础设施</t>
        </is>
      </c>
      <c r="D82" s="6" t="inlineStr">
        <is>
          <t>Java监控（原'Java个监控'）</t>
        </is>
      </c>
      <c r="E82" s="6" t="inlineStr"/>
      <c r="F82" s="8" t="inlineStr">
        <is>
          <t>P0</t>
        </is>
      </c>
      <c r="G82" s="6" t="inlineStr">
        <is>
          <t>芋道 infra</t>
        </is>
      </c>
      <c r="H82" s="6" t="inlineStr">
        <is>
          <t>芋道</t>
        </is>
      </c>
      <c r="I82" s="5" t="inlineStr">
        <is>
          <t>M0·P0</t>
        </is>
      </c>
      <c r="J82" s="5" t="inlineStr">
        <is>
          <t>—</t>
        </is>
      </c>
      <c r="K82" s="5" t="inlineStr">
        <is>
          <t>未开始</t>
        </is>
      </c>
      <c r="L82" s="5" t="inlineStr"/>
      <c r="M82" s="5" t="inlineStr"/>
      <c r="N82" s="6" t="inlineStr">
        <is>
          <t>底座自带</t>
        </is>
      </c>
    </row>
    <row r="83">
      <c r="A83" s="5" t="inlineStr">
        <is>
          <t>A-82</t>
        </is>
      </c>
      <c r="B83" s="5" t="inlineStr">
        <is>
          <t>后台管理端</t>
        </is>
      </c>
      <c r="C83" s="5" t="inlineStr">
        <is>
          <t>基础设施</t>
        </is>
      </c>
      <c r="D83" s="6" t="inlineStr">
        <is>
          <t>定时任务</t>
        </is>
      </c>
      <c r="E83" s="6" t="inlineStr"/>
      <c r="F83" s="8" t="inlineStr">
        <is>
          <t>P0</t>
        </is>
      </c>
      <c r="G83" s="6" t="inlineStr">
        <is>
          <t>芋道 infra</t>
        </is>
      </c>
      <c r="H83" s="6" t="inlineStr">
        <is>
          <t>芋道</t>
        </is>
      </c>
      <c r="I83" s="5" t="inlineStr">
        <is>
          <t>M0·P0</t>
        </is>
      </c>
      <c r="J83" s="5" t="inlineStr">
        <is>
          <t>—</t>
        </is>
      </c>
      <c r="K83" s="5" t="inlineStr">
        <is>
          <t>未开始</t>
        </is>
      </c>
      <c r="L83" s="5" t="inlineStr"/>
      <c r="M83" s="5" t="inlineStr"/>
      <c r="N83" s="6" t="inlineStr">
        <is>
          <t>底座自带</t>
        </is>
      </c>
    </row>
    <row r="84">
      <c r="A84" s="5" t="inlineStr">
        <is>
          <t>A-83</t>
        </is>
      </c>
      <c r="B84" s="5" t="inlineStr">
        <is>
          <t>后台管理端</t>
        </is>
      </c>
      <c r="C84" s="5" t="inlineStr">
        <is>
          <t>基础设施</t>
        </is>
      </c>
      <c r="D84" s="6" t="inlineStr">
        <is>
          <t>租户管理</t>
        </is>
      </c>
      <c r="E84" s="6" t="inlineStr">
        <is>
          <t>租户列表与租户套餐</t>
        </is>
      </c>
      <c r="F84" s="8" t="inlineStr">
        <is>
          <t>P0</t>
        </is>
      </c>
      <c r="G84" s="6" t="inlineStr">
        <is>
          <t>芋道 system tenant</t>
        </is>
      </c>
      <c r="H84" s="6" t="inlineStr">
        <is>
          <t>芋道</t>
        </is>
      </c>
      <c r="I84" s="5" t="inlineStr">
        <is>
          <t>M0·P0</t>
        </is>
      </c>
      <c r="J84" s="5" t="inlineStr">
        <is>
          <t>—</t>
        </is>
      </c>
      <c r="K84" s="5" t="inlineStr">
        <is>
          <t>未开始</t>
        </is>
      </c>
      <c r="L84" s="5" t="inlineStr"/>
      <c r="M84" s="5" t="inlineStr"/>
      <c r="N84" s="6" t="inlineStr">
        <is>
          <t>SaaS 根基；M8 再叠 SaaS 计费（X-10）</t>
        </is>
      </c>
    </row>
    <row r="85">
      <c r="A85" s="5" t="inlineStr">
        <is>
          <t>A-84</t>
        </is>
      </c>
      <c r="B85" s="5" t="inlineStr">
        <is>
          <t>后台管理端</t>
        </is>
      </c>
      <c r="C85" s="5" t="inlineStr">
        <is>
          <t>系统管理</t>
        </is>
      </c>
      <c r="D85" s="6" t="inlineStr">
        <is>
          <t>用户管理</t>
        </is>
      </c>
      <c r="E85" s="6" t="inlineStr"/>
      <c r="F85" s="8" t="inlineStr">
        <is>
          <t>P0</t>
        </is>
      </c>
      <c r="G85" s="6" t="inlineStr">
        <is>
          <t>芋道 system</t>
        </is>
      </c>
      <c r="H85" s="6" t="inlineStr">
        <is>
          <t>芋道</t>
        </is>
      </c>
      <c r="I85" s="5" t="inlineStr">
        <is>
          <t>M0·P0</t>
        </is>
      </c>
      <c r="J85" s="5" t="inlineStr">
        <is>
          <t>—</t>
        </is>
      </c>
      <c r="K85" s="5" t="inlineStr">
        <is>
          <t>未开始</t>
        </is>
      </c>
      <c r="L85" s="5" t="inlineStr"/>
      <c r="M85" s="5" t="inlineStr"/>
      <c r="N85" s="6" t="inlineStr">
        <is>
          <t>底座自带</t>
        </is>
      </c>
    </row>
    <row r="86">
      <c r="A86" s="5" t="inlineStr">
        <is>
          <t>A-85</t>
        </is>
      </c>
      <c r="B86" s="5" t="inlineStr">
        <is>
          <t>后台管理端</t>
        </is>
      </c>
      <c r="C86" s="5" t="inlineStr">
        <is>
          <t>系统管理</t>
        </is>
      </c>
      <c r="D86" s="6" t="inlineStr">
        <is>
          <t>角色管理</t>
        </is>
      </c>
      <c r="E86" s="6" t="inlineStr">
        <is>
          <t>用于权限角色 可分配菜单权限与数据权限</t>
        </is>
      </c>
      <c r="F86" s="8" t="inlineStr">
        <is>
          <t>P0</t>
        </is>
      </c>
      <c r="G86" s="6" t="inlineStr">
        <is>
          <t>芋道 system</t>
        </is>
      </c>
      <c r="H86" s="6" t="inlineStr">
        <is>
          <t>芋道</t>
        </is>
      </c>
      <c r="I86" s="5" t="inlineStr">
        <is>
          <t>M0·P0</t>
        </is>
      </c>
      <c r="J86" s="5" t="inlineStr">
        <is>
          <t>—</t>
        </is>
      </c>
      <c r="K86" s="5" t="inlineStr">
        <is>
          <t>未开始</t>
        </is>
      </c>
      <c r="L86" s="5" t="inlineStr"/>
      <c r="M86" s="5" t="inlineStr"/>
      <c r="N86" s="6" t="inlineStr">
        <is>
          <t>门店角色数据权限（S-19）基于此</t>
        </is>
      </c>
    </row>
    <row r="87">
      <c r="A87" s="5" t="inlineStr">
        <is>
          <t>A-86</t>
        </is>
      </c>
      <c r="B87" s="5" t="inlineStr">
        <is>
          <t>后台管理端</t>
        </is>
      </c>
      <c r="C87" s="5" t="inlineStr">
        <is>
          <t>系统管理</t>
        </is>
      </c>
      <c r="D87" s="6" t="inlineStr">
        <is>
          <t>菜单管理</t>
        </is>
      </c>
      <c r="E87" s="6" t="inlineStr"/>
      <c r="F87" s="8" t="inlineStr">
        <is>
          <t>P0</t>
        </is>
      </c>
      <c r="G87" s="6" t="inlineStr">
        <is>
          <t>芋道 system</t>
        </is>
      </c>
      <c r="H87" s="6" t="inlineStr">
        <is>
          <t>芋道</t>
        </is>
      </c>
      <c r="I87" s="5" t="inlineStr">
        <is>
          <t>M0·P0</t>
        </is>
      </c>
      <c r="J87" s="5" t="inlineStr">
        <is>
          <t>—</t>
        </is>
      </c>
      <c r="K87" s="5" t="inlineStr">
        <is>
          <t>未开始</t>
        </is>
      </c>
      <c r="L87" s="5" t="inlineStr"/>
      <c r="M87" s="5" t="inlineStr"/>
      <c r="N87" s="6" t="inlineStr">
        <is>
          <t>底座自带</t>
        </is>
      </c>
    </row>
    <row r="88">
      <c r="A88" s="5" t="inlineStr">
        <is>
          <t>A-87</t>
        </is>
      </c>
      <c r="B88" s="5" t="inlineStr">
        <is>
          <t>后台管理端</t>
        </is>
      </c>
      <c r="C88" s="5" t="inlineStr">
        <is>
          <t>系统管理</t>
        </is>
      </c>
      <c r="D88" s="6" t="inlineStr">
        <is>
          <t>部门管理</t>
        </is>
      </c>
      <c r="E88" s="6" t="inlineStr"/>
      <c r="F88" s="8" t="inlineStr">
        <is>
          <t>P0</t>
        </is>
      </c>
      <c r="G88" s="6" t="inlineStr">
        <is>
          <t>芋道 system</t>
        </is>
      </c>
      <c r="H88" s="6" t="inlineStr">
        <is>
          <t>芋道</t>
        </is>
      </c>
      <c r="I88" s="5" t="inlineStr">
        <is>
          <t>M0·P0</t>
        </is>
      </c>
      <c r="J88" s="5" t="inlineStr">
        <is>
          <t>—</t>
        </is>
      </c>
      <c r="K88" s="5" t="inlineStr">
        <is>
          <t>未开始</t>
        </is>
      </c>
      <c r="L88" s="5" t="inlineStr"/>
      <c r="M88" s="5" t="inlineStr"/>
      <c r="N88" s="6" t="inlineStr">
        <is>
          <t>底座自带</t>
        </is>
      </c>
    </row>
    <row r="89">
      <c r="A89" s="5" t="inlineStr">
        <is>
          <t>A-88</t>
        </is>
      </c>
      <c r="B89" s="5" t="inlineStr">
        <is>
          <t>后台管理端</t>
        </is>
      </c>
      <c r="C89" s="5" t="inlineStr">
        <is>
          <t>系统管理</t>
        </is>
      </c>
      <c r="D89" s="6" t="inlineStr">
        <is>
          <t>岗位管理</t>
        </is>
      </c>
      <c r="E89" s="6" t="inlineStr"/>
      <c r="F89" s="8" t="inlineStr">
        <is>
          <t>P0</t>
        </is>
      </c>
      <c r="G89" s="6" t="inlineStr">
        <is>
          <t>芋道 system</t>
        </is>
      </c>
      <c r="H89" s="6" t="inlineStr">
        <is>
          <t>芋道</t>
        </is>
      </c>
      <c r="I89" s="5" t="inlineStr">
        <is>
          <t>M0·P0</t>
        </is>
      </c>
      <c r="J89" s="5" t="inlineStr">
        <is>
          <t>—</t>
        </is>
      </c>
      <c r="K89" s="5" t="inlineStr">
        <is>
          <t>未开始</t>
        </is>
      </c>
      <c r="L89" s="5" t="inlineStr"/>
      <c r="M89" s="5" t="inlineStr"/>
      <c r="N89" s="6" t="inlineStr">
        <is>
          <t>底座自带</t>
        </is>
      </c>
    </row>
    <row r="90">
      <c r="A90" s="5" t="inlineStr">
        <is>
          <t>A-89</t>
        </is>
      </c>
      <c r="B90" s="5" t="inlineStr">
        <is>
          <t>后台管理端</t>
        </is>
      </c>
      <c r="C90" s="5" t="inlineStr">
        <is>
          <t>系统管理</t>
        </is>
      </c>
      <c r="D90" s="6" t="inlineStr">
        <is>
          <t>字典管理</t>
        </is>
      </c>
      <c r="E90" s="6" t="inlineStr"/>
      <c r="F90" s="8" t="inlineStr">
        <is>
          <t>P0</t>
        </is>
      </c>
      <c r="G90" s="6" t="inlineStr">
        <is>
          <t>芋道 system</t>
        </is>
      </c>
      <c r="H90" s="6" t="inlineStr">
        <is>
          <t>芋道</t>
        </is>
      </c>
      <c r="I90" s="5" t="inlineStr">
        <is>
          <t>M0·P0</t>
        </is>
      </c>
      <c r="J90" s="5" t="inlineStr">
        <is>
          <t>—</t>
        </is>
      </c>
      <c r="K90" s="5" t="inlineStr">
        <is>
          <t>未开始</t>
        </is>
      </c>
      <c r="L90" s="5" t="inlineStr"/>
      <c r="M90" s="5" t="inlineStr"/>
      <c r="N90" s="6" t="inlineStr">
        <is>
          <t>底座自带</t>
        </is>
      </c>
    </row>
    <row r="91">
      <c r="A91" s="5" t="inlineStr">
        <is>
          <t>A-90</t>
        </is>
      </c>
      <c r="B91" s="5" t="inlineStr">
        <is>
          <t>后台管理端</t>
        </is>
      </c>
      <c r="C91" s="5" t="inlineStr">
        <is>
          <t>系统管理</t>
        </is>
      </c>
      <c r="D91" s="6" t="inlineStr">
        <is>
          <t>通知公告</t>
        </is>
      </c>
      <c r="E91" s="6" t="inlineStr"/>
      <c r="F91" s="8" t="inlineStr">
        <is>
          <t>P0</t>
        </is>
      </c>
      <c r="G91" s="6" t="inlineStr">
        <is>
          <t>芋道 system</t>
        </is>
      </c>
      <c r="H91" s="6" t="inlineStr">
        <is>
          <t>芋道</t>
        </is>
      </c>
      <c r="I91" s="5" t="inlineStr">
        <is>
          <t>M0·P0</t>
        </is>
      </c>
      <c r="J91" s="5" t="inlineStr">
        <is>
          <t>—</t>
        </is>
      </c>
      <c r="K91" s="5" t="inlineStr">
        <is>
          <t>未开始</t>
        </is>
      </c>
      <c r="L91" s="5" t="inlineStr"/>
      <c r="M91" s="5" t="inlineStr"/>
      <c r="N91" s="6" t="inlineStr">
        <is>
          <t>底座自带</t>
        </is>
      </c>
    </row>
    <row r="92">
      <c r="A92" s="5" t="inlineStr">
        <is>
          <t>A-91</t>
        </is>
      </c>
      <c r="B92" s="5" t="inlineStr">
        <is>
          <t>后台管理端</t>
        </is>
      </c>
      <c r="C92" s="5" t="inlineStr">
        <is>
          <t>系统管理</t>
        </is>
      </c>
      <c r="D92" s="6" t="inlineStr">
        <is>
          <t>审计日志</t>
        </is>
      </c>
      <c r="E92" s="6" t="inlineStr">
        <is>
          <t>操作日志、登录日志</t>
        </is>
      </c>
      <c r="F92" s="8" t="inlineStr">
        <is>
          <t>P0</t>
        </is>
      </c>
      <c r="G92" s="6" t="inlineStr">
        <is>
          <t>芋道 system</t>
        </is>
      </c>
      <c r="H92" s="6" t="inlineStr">
        <is>
          <t>芋道</t>
        </is>
      </c>
      <c r="I92" s="5" t="inlineStr">
        <is>
          <t>M0·P0</t>
        </is>
      </c>
      <c r="J92" s="5" t="inlineStr">
        <is>
          <t>—</t>
        </is>
      </c>
      <c r="K92" s="5" t="inlineStr">
        <is>
          <t>未开始</t>
        </is>
      </c>
      <c r="L92" s="5" t="inlineStr"/>
      <c r="M92" s="5" t="inlineStr"/>
      <c r="N92" s="6" t="inlineStr">
        <is>
          <t>底座自带</t>
        </is>
      </c>
    </row>
    <row r="93">
      <c r="A93" s="5" t="inlineStr">
        <is>
          <t>A-92</t>
        </is>
      </c>
      <c r="B93" s="5" t="inlineStr">
        <is>
          <t>后台管理端</t>
        </is>
      </c>
      <c r="C93" s="5" t="inlineStr">
        <is>
          <t>系统管理</t>
        </is>
      </c>
      <c r="D93" s="6" t="inlineStr">
        <is>
          <t>OAUTH2.0</t>
        </is>
      </c>
      <c r="E93" s="6" t="inlineStr">
        <is>
          <t>应用管理、令牌管理</t>
        </is>
      </c>
      <c r="F93" s="8" t="inlineStr">
        <is>
          <t>P0</t>
        </is>
      </c>
      <c r="G93" s="6" t="inlineStr">
        <is>
          <t>芋道 system</t>
        </is>
      </c>
      <c r="H93" s="6" t="inlineStr">
        <is>
          <t>芋道</t>
        </is>
      </c>
      <c r="I93" s="5" t="inlineStr">
        <is>
          <t>M0·P0</t>
        </is>
      </c>
      <c r="J93" s="5" t="inlineStr">
        <is>
          <t>—</t>
        </is>
      </c>
      <c r="K93" s="5" t="inlineStr">
        <is>
          <t>未开始</t>
        </is>
      </c>
      <c r="L93" s="5" t="inlineStr"/>
      <c r="M93" s="5" t="inlineStr"/>
      <c r="N93" s="6" t="inlineStr">
        <is>
          <t>底座自带</t>
        </is>
      </c>
    </row>
    <row r="94">
      <c r="A94" s="5" t="inlineStr">
        <is>
          <t>A-93</t>
        </is>
      </c>
      <c r="B94" s="5" t="inlineStr">
        <is>
          <t>后台管理端</t>
        </is>
      </c>
      <c r="C94" s="5" t="inlineStr">
        <is>
          <t>系统管理</t>
        </is>
      </c>
      <c r="D94" s="6" t="inlineStr">
        <is>
          <t>短信管理</t>
        </is>
      </c>
      <c r="E94" s="6" t="inlineStr">
        <is>
          <t>短信渠道、短信模板、短信日志</t>
        </is>
      </c>
      <c r="F94" s="8" t="inlineStr">
        <is>
          <t>P0</t>
        </is>
      </c>
      <c r="G94" s="6" t="inlineStr">
        <is>
          <t>芋道 system</t>
        </is>
      </c>
      <c r="H94" s="6" t="inlineStr">
        <is>
          <t>芋道</t>
        </is>
      </c>
      <c r="I94" s="5" t="inlineStr">
        <is>
          <t>M0·P0</t>
        </is>
      </c>
      <c r="J94" s="5" t="inlineStr">
        <is>
          <t>—</t>
        </is>
      </c>
      <c r="K94" s="5" t="inlineStr">
        <is>
          <t>未开始</t>
        </is>
      </c>
      <c r="L94" s="5" t="inlineStr"/>
      <c r="M94" s="5" t="inlineStr"/>
      <c r="N94" s="6" t="inlineStr">
        <is>
          <t>底座自带</t>
        </is>
      </c>
    </row>
    <row r="95">
      <c r="A95" s="5" t="inlineStr">
        <is>
          <t>A-94</t>
        </is>
      </c>
      <c r="B95" s="5" t="inlineStr">
        <is>
          <t>后台管理端</t>
        </is>
      </c>
      <c r="C95" s="5" t="inlineStr">
        <is>
          <t>系统管理</t>
        </is>
      </c>
      <c r="D95" s="6" t="inlineStr">
        <is>
          <t>邮箱管理</t>
        </is>
      </c>
      <c r="E95" s="6" t="inlineStr">
        <is>
          <t>邮箱配置等</t>
        </is>
      </c>
      <c r="F95" s="8" t="inlineStr">
        <is>
          <t>P0</t>
        </is>
      </c>
      <c r="G95" s="6" t="inlineStr">
        <is>
          <t>芋道 system</t>
        </is>
      </c>
      <c r="H95" s="6" t="inlineStr">
        <is>
          <t>芋道</t>
        </is>
      </c>
      <c r="I95" s="5" t="inlineStr">
        <is>
          <t>M0·P0</t>
        </is>
      </c>
      <c r="J95" s="5" t="inlineStr">
        <is>
          <t>—</t>
        </is>
      </c>
      <c r="K95" s="5" t="inlineStr">
        <is>
          <t>未开始</t>
        </is>
      </c>
      <c r="L95" s="5" t="inlineStr"/>
      <c r="M95" s="5" t="inlineStr"/>
      <c r="N95" s="6" t="inlineStr">
        <is>
          <t>底座自带</t>
        </is>
      </c>
    </row>
    <row r="96">
      <c r="A96" s="5" t="inlineStr">
        <is>
          <t>A-95</t>
        </is>
      </c>
      <c r="B96" s="5" t="inlineStr">
        <is>
          <t>后台管理端</t>
        </is>
      </c>
      <c r="C96" s="5" t="inlineStr">
        <is>
          <t>系统管理</t>
        </is>
      </c>
      <c r="D96" s="6" t="inlineStr">
        <is>
          <t>站内信管理</t>
        </is>
      </c>
      <c r="E96" s="6" t="inlineStr">
        <is>
          <t>模板管理、消息记录</t>
        </is>
      </c>
      <c r="F96" s="8" t="inlineStr">
        <is>
          <t>P0</t>
        </is>
      </c>
      <c r="G96" s="6" t="inlineStr">
        <is>
          <t>芋道 system</t>
        </is>
      </c>
      <c r="H96" s="6" t="inlineStr">
        <is>
          <t>芋道</t>
        </is>
      </c>
      <c r="I96" s="5" t="inlineStr">
        <is>
          <t>M0·P0</t>
        </is>
      </c>
      <c r="J96" s="5" t="inlineStr">
        <is>
          <t>—</t>
        </is>
      </c>
      <c r="K96" s="5" t="inlineStr">
        <is>
          <t>未开始</t>
        </is>
      </c>
      <c r="L96" s="5" t="inlineStr"/>
      <c r="M96" s="5" t="inlineStr"/>
      <c r="N96" s="6" t="inlineStr">
        <is>
          <t>底座自带</t>
        </is>
      </c>
    </row>
    <row r="97">
      <c r="A97" s="5" t="inlineStr">
        <is>
          <t>A-96</t>
        </is>
      </c>
      <c r="B97" s="5" t="inlineStr">
        <is>
          <t>后台管理端</t>
        </is>
      </c>
      <c r="C97" s="5" t="inlineStr">
        <is>
          <t>系统管理</t>
        </is>
      </c>
      <c r="D97" s="6" t="inlineStr">
        <is>
          <t>错误码管理</t>
        </is>
      </c>
      <c r="E97" s="6" t="inlineStr"/>
      <c r="F97" s="8" t="inlineStr">
        <is>
          <t>P0</t>
        </is>
      </c>
      <c r="G97" s="6" t="inlineStr">
        <is>
          <t>芋道 system</t>
        </is>
      </c>
      <c r="H97" s="6" t="inlineStr">
        <is>
          <t>芋道</t>
        </is>
      </c>
      <c r="I97" s="5" t="inlineStr">
        <is>
          <t>M0·P0</t>
        </is>
      </c>
      <c r="J97" s="5" t="inlineStr">
        <is>
          <t>—</t>
        </is>
      </c>
      <c r="K97" s="5" t="inlineStr">
        <is>
          <t>未开始</t>
        </is>
      </c>
      <c r="L97" s="5" t="inlineStr"/>
      <c r="M97" s="5" t="inlineStr"/>
      <c r="N97" s="6" t="inlineStr">
        <is>
          <t>底座自带</t>
        </is>
      </c>
    </row>
    <row r="98">
      <c r="A98" s="5" t="inlineStr">
        <is>
          <t>A-97</t>
        </is>
      </c>
      <c r="B98" s="5" t="inlineStr">
        <is>
          <t>后台管理端</t>
        </is>
      </c>
      <c r="C98" s="5" t="inlineStr">
        <is>
          <t>系统管理</t>
        </is>
      </c>
      <c r="D98" s="6" t="inlineStr">
        <is>
          <t>敏感词管理</t>
        </is>
      </c>
      <c r="E98" s="6" t="inlineStr"/>
      <c r="F98" s="8" t="inlineStr">
        <is>
          <t>P0</t>
        </is>
      </c>
      <c r="G98" s="6" t="inlineStr">
        <is>
          <t>芋道 system</t>
        </is>
      </c>
      <c r="H98" s="6" t="inlineStr">
        <is>
          <t>芋道</t>
        </is>
      </c>
      <c r="I98" s="5" t="inlineStr">
        <is>
          <t>M0·P0</t>
        </is>
      </c>
      <c r="J98" s="5" t="inlineStr">
        <is>
          <t>—</t>
        </is>
      </c>
      <c r="K98" s="5" t="inlineStr">
        <is>
          <t>未开始</t>
        </is>
      </c>
      <c r="L98" s="5" t="inlineStr"/>
      <c r="M98" s="5" t="inlineStr"/>
      <c r="N98" s="6" t="inlineStr">
        <is>
          <t>底座自带</t>
        </is>
      </c>
    </row>
    <row r="99">
      <c r="A99" s="5" t="inlineStr">
        <is>
          <t>A-98</t>
        </is>
      </c>
      <c r="B99" s="5" t="inlineStr">
        <is>
          <t>后台管理端</t>
        </is>
      </c>
      <c r="C99" s="5" t="inlineStr">
        <is>
          <t>系统管理</t>
        </is>
      </c>
      <c r="D99" s="6" t="inlineStr">
        <is>
          <t>地区管理</t>
        </is>
      </c>
      <c r="E99" s="6" t="inlineStr"/>
      <c r="F99" s="8" t="inlineStr">
        <is>
          <t>P0</t>
        </is>
      </c>
      <c r="G99" s="6" t="inlineStr">
        <is>
          <t>芋道 system</t>
        </is>
      </c>
      <c r="H99" s="6" t="inlineStr">
        <is>
          <t>芋道</t>
        </is>
      </c>
      <c r="I99" s="5" t="inlineStr">
        <is>
          <t>M0·P0</t>
        </is>
      </c>
      <c r="J99" s="5" t="inlineStr">
        <is>
          <t>—</t>
        </is>
      </c>
      <c r="K99" s="5" t="inlineStr">
        <is>
          <t>未开始</t>
        </is>
      </c>
      <c r="L99" s="5" t="inlineStr"/>
      <c r="M99" s="5" t="inlineStr"/>
      <c r="N99" s="6" t="inlineStr">
        <is>
          <t>底座自带</t>
        </is>
      </c>
    </row>
    <row r="100">
      <c r="A100" s="5" t="inlineStr">
        <is>
          <t>C-01</t>
        </is>
      </c>
      <c r="B100" s="5" t="inlineStr">
        <is>
          <t>移动端·顾客</t>
        </is>
      </c>
      <c r="C100" s="5" t="inlineStr">
        <is>
          <t>扫码点餐</t>
        </is>
      </c>
      <c r="D100" s="6" t="inlineStr">
        <is>
          <t>桌台扫码点餐（单人）</t>
        </is>
      </c>
      <c r="E100" s="6" t="inlineStr"/>
      <c r="F100" s="8" t="inlineStr">
        <is>
          <t>P0</t>
        </is>
      </c>
      <c r="G100" s="6" t="inlineStr">
        <is>
          <t>自研（桌码解析）</t>
        </is>
      </c>
      <c r="H100" s="6" t="inlineStr">
        <is>
          <t>—</t>
        </is>
      </c>
      <c r="I100" s="5" t="inlineStr">
        <is>
          <t>M2·P0</t>
        </is>
      </c>
      <c r="J100" s="5" t="inlineStr">
        <is>
          <t>M</t>
        </is>
      </c>
      <c r="K100" s="5" t="inlineStr">
        <is>
          <t>未开始</t>
        </is>
      </c>
      <c r="L100" s="5" t="inlineStr"/>
      <c r="M100" s="5" t="inlineStr"/>
      <c r="N100" s="6" t="inlineStr">
        <is>
          <t>原文件行100（位于后台/移动端分节处，按业务归入顾客端）；依赖 A-05</t>
        </is>
      </c>
    </row>
    <row r="101">
      <c r="A101" s="10" t="inlineStr">
        <is>
          <t>C-02</t>
        </is>
      </c>
      <c r="B101" s="10" t="inlineStr">
        <is>
          <t>移动端·顾客</t>
        </is>
      </c>
      <c r="C101" s="10" t="inlineStr">
        <is>
          <t>扫码点餐</t>
        </is>
      </c>
      <c r="D101" s="11" t="inlineStr">
        <is>
          <t>桌台扫码-多人协同点餐 ★新增</t>
        </is>
      </c>
      <c r="E101" s="11" t="inlineStr"/>
      <c r="F101" s="12" t="inlineStr">
        <is>
          <t>P1</t>
        </is>
      </c>
      <c r="G101" s="11" t="inlineStr">
        <is>
          <t>自研（前端交互层）</t>
        </is>
      </c>
      <c r="H101" s="11" t="inlineStr">
        <is>
          <t>BiteGo（文档精读）</t>
        </is>
      </c>
      <c r="I101" s="10" t="inlineStr">
        <is>
          <t>M5·P1</t>
        </is>
      </c>
      <c r="J101" s="10" t="inlineStr">
        <is>
          <t>XL</t>
        </is>
      </c>
      <c r="K101" s="10" t="inlineStr">
        <is>
          <t>未开始</t>
        </is>
      </c>
      <c r="L101" s="10" t="inlineStr"/>
      <c r="M101" s="10" t="inlineStr"/>
      <c r="N101" s="11" t="inlineStr">
        <is>
          <t>由原行100拆分完善；核心差异化；后端域见 X-13；分单支付</t>
        </is>
      </c>
    </row>
    <row r="102">
      <c r="A102" s="5" t="inlineStr">
        <is>
          <t>C-03</t>
        </is>
      </c>
      <c r="B102" s="5" t="inlineStr">
        <is>
          <t>移动端·顾客</t>
        </is>
      </c>
      <c r="C102" s="5" t="inlineStr">
        <is>
          <t>首页</t>
        </is>
      </c>
      <c r="D102" s="6" t="inlineStr">
        <is>
          <t>轮播图</t>
        </is>
      </c>
      <c r="E102" s="6" t="inlineStr"/>
      <c r="F102" s="8" t="inlineStr">
        <is>
          <t>P0</t>
        </is>
      </c>
      <c r="G102" s="6" t="inlineStr">
        <is>
          <t>自研页面 + yshop 参考</t>
        </is>
      </c>
      <c r="H102" s="6" t="inlineStr">
        <is>
          <t>yshop uniapp</t>
        </is>
      </c>
      <c r="I102" s="5" t="inlineStr">
        <is>
          <t>M2·P0</t>
        </is>
      </c>
      <c r="J102" s="5" t="inlineStr">
        <is>
          <t>S</t>
        </is>
      </c>
      <c r="K102" s="5" t="inlineStr">
        <is>
          <t>未开始</t>
        </is>
      </c>
      <c r="L102" s="5" t="inlineStr"/>
      <c r="M102" s="5" t="inlineStr"/>
      <c r="N102" s="6" t="inlineStr">
        <is>
          <t>依赖 A-45/A-08</t>
        </is>
      </c>
    </row>
    <row r="103">
      <c r="A103" s="5" t="inlineStr">
        <is>
          <t>C-04</t>
        </is>
      </c>
      <c r="B103" s="5" t="inlineStr">
        <is>
          <t>移动端·顾客</t>
        </is>
      </c>
      <c r="C103" s="5" t="inlineStr">
        <is>
          <t>首页</t>
        </is>
      </c>
      <c r="D103" s="6" t="inlineStr">
        <is>
          <t>基本信息展示</t>
        </is>
      </c>
      <c r="E103" s="6" t="inlineStr"/>
      <c r="F103" s="8" t="inlineStr">
        <is>
          <t>P0</t>
        </is>
      </c>
      <c r="G103" s="6" t="inlineStr">
        <is>
          <t>自研</t>
        </is>
      </c>
      <c r="H103" s="6" t="inlineStr">
        <is>
          <t>yshop</t>
        </is>
      </c>
      <c r="I103" s="5" t="inlineStr">
        <is>
          <t>M2·P0</t>
        </is>
      </c>
      <c r="J103" s="5" t="inlineStr">
        <is>
          <t>S</t>
        </is>
      </c>
      <c r="K103" s="5" t="inlineStr">
        <is>
          <t>未开始</t>
        </is>
      </c>
      <c r="L103" s="5" t="inlineStr"/>
      <c r="M103" s="5" t="inlineStr"/>
      <c r="N103" s="6" t="inlineStr"/>
    </row>
    <row r="104">
      <c r="A104" s="5" t="inlineStr">
        <is>
          <t>C-05</t>
        </is>
      </c>
      <c r="B104" s="5" t="inlineStr">
        <is>
          <t>移动端·顾客</t>
        </is>
      </c>
      <c r="C104" s="5" t="inlineStr">
        <is>
          <t>首页</t>
        </is>
      </c>
      <c r="D104" s="6" t="inlineStr">
        <is>
          <t>自取/外卖入口（原'自取/外面入口'）</t>
        </is>
      </c>
      <c r="E104" s="6" t="inlineStr"/>
      <c r="F104" s="8" t="inlineStr">
        <is>
          <t>P0</t>
        </is>
      </c>
      <c r="G104" s="6" t="inlineStr">
        <is>
          <t>自研</t>
        </is>
      </c>
      <c r="H104" s="6" t="inlineStr">
        <is>
          <t>yshop</t>
        </is>
      </c>
      <c r="I104" s="5" t="inlineStr">
        <is>
          <t>M2·P0</t>
        </is>
      </c>
      <c r="J104" s="5" t="inlineStr">
        <is>
          <t>S</t>
        </is>
      </c>
      <c r="K104" s="5" t="inlineStr">
        <is>
          <t>未开始</t>
        </is>
      </c>
      <c r="L104" s="5" t="inlineStr"/>
      <c r="M104" s="5" t="inlineStr"/>
      <c r="N104" s="6" t="inlineStr"/>
    </row>
    <row r="105">
      <c r="A105" s="5" t="inlineStr">
        <is>
          <t>C-06</t>
        </is>
      </c>
      <c r="B105" s="5" t="inlineStr">
        <is>
          <t>移动端·顾客</t>
        </is>
      </c>
      <c r="C105" s="5" t="inlineStr">
        <is>
          <t>首页</t>
        </is>
      </c>
      <c r="D105" s="6" t="inlineStr">
        <is>
          <t>我的积分入口</t>
        </is>
      </c>
      <c r="E105" s="6" t="inlineStr"/>
      <c r="F105" s="8" t="inlineStr">
        <is>
          <t>P0</t>
        </is>
      </c>
      <c r="G105" s="6" t="inlineStr">
        <is>
          <t>自研</t>
        </is>
      </c>
      <c r="H105" s="6" t="inlineStr">
        <is>
          <t>yshop</t>
        </is>
      </c>
      <c r="I105" s="5" t="inlineStr">
        <is>
          <t>M2·P0</t>
        </is>
      </c>
      <c r="J105" s="5" t="inlineStr">
        <is>
          <t>S</t>
        </is>
      </c>
      <c r="K105" s="5" t="inlineStr">
        <is>
          <t>未开始</t>
        </is>
      </c>
      <c r="L105" s="5" t="inlineStr"/>
      <c r="M105" s="5" t="inlineStr"/>
      <c r="N105" s="6" t="inlineStr"/>
    </row>
    <row r="106">
      <c r="A106" s="5" t="inlineStr">
        <is>
          <t>C-07</t>
        </is>
      </c>
      <c r="B106" s="5" t="inlineStr">
        <is>
          <t>移动端·顾客</t>
        </is>
      </c>
      <c r="C106" s="5" t="inlineStr">
        <is>
          <t>首页</t>
        </is>
      </c>
      <c r="D106" s="6" t="inlineStr">
        <is>
          <t>查看门店入口</t>
        </is>
      </c>
      <c r="E106" s="6" t="inlineStr"/>
      <c r="F106" s="8" t="inlineStr">
        <is>
          <t>P0</t>
        </is>
      </c>
      <c r="G106" s="6" t="inlineStr">
        <is>
          <t>自研</t>
        </is>
      </c>
      <c r="H106" s="6" t="inlineStr">
        <is>
          <t>yshop</t>
        </is>
      </c>
      <c r="I106" s="5" t="inlineStr">
        <is>
          <t>M2·P0</t>
        </is>
      </c>
      <c r="J106" s="5" t="inlineStr">
        <is>
          <t>S</t>
        </is>
      </c>
      <c r="K106" s="5" t="inlineStr">
        <is>
          <t>未开始</t>
        </is>
      </c>
      <c r="L106" s="5" t="inlineStr"/>
      <c r="M106" s="5" t="inlineStr"/>
      <c r="N106" s="6" t="inlineStr"/>
    </row>
    <row r="107">
      <c r="A107" s="5" t="inlineStr">
        <is>
          <t>C-08</t>
        </is>
      </c>
      <c r="B107" s="5" t="inlineStr">
        <is>
          <t>移动端·顾客</t>
        </is>
      </c>
      <c r="C107" s="5" t="inlineStr">
        <is>
          <t>首页</t>
        </is>
      </c>
      <c r="D107" s="6" t="inlineStr">
        <is>
          <t>领取优惠券入口</t>
        </is>
      </c>
      <c r="E107" s="6" t="inlineStr"/>
      <c r="F107" s="8" t="inlineStr">
        <is>
          <t>P0</t>
        </is>
      </c>
      <c r="G107" s="6" t="inlineStr">
        <is>
          <t>自研</t>
        </is>
      </c>
      <c r="H107" s="6" t="inlineStr">
        <is>
          <t>yshop</t>
        </is>
      </c>
      <c r="I107" s="5" t="inlineStr">
        <is>
          <t>M2·P0</t>
        </is>
      </c>
      <c r="J107" s="5" t="inlineStr">
        <is>
          <t>S</t>
        </is>
      </c>
      <c r="K107" s="5" t="inlineStr">
        <is>
          <t>未开始</t>
        </is>
      </c>
      <c r="L107" s="5" t="inlineStr"/>
      <c r="M107" s="5" t="inlineStr"/>
      <c r="N107" s="6" t="inlineStr"/>
    </row>
    <row r="108">
      <c r="A108" s="5" t="inlineStr">
        <is>
          <t>C-09</t>
        </is>
      </c>
      <c r="B108" s="5" t="inlineStr">
        <is>
          <t>移动端·顾客</t>
        </is>
      </c>
      <c r="C108" s="5" t="inlineStr">
        <is>
          <t>首页</t>
        </is>
      </c>
      <c r="D108" s="6" t="inlineStr">
        <is>
          <t>门店距离展示</t>
        </is>
      </c>
      <c r="E108" s="6" t="inlineStr"/>
      <c r="F108" s="8" t="inlineStr">
        <is>
          <t>P0</t>
        </is>
      </c>
      <c r="G108" s="6" t="inlineStr">
        <is>
          <t>自研 + 三方 SDK</t>
        </is>
      </c>
      <c r="H108" s="6" t="inlineStr">
        <is>
          <t>高德/腾讯定位</t>
        </is>
      </c>
      <c r="I108" s="5" t="inlineStr">
        <is>
          <t>M2·P0</t>
        </is>
      </c>
      <c r="J108" s="5" t="inlineStr">
        <is>
          <t>S</t>
        </is>
      </c>
      <c r="K108" s="5" t="inlineStr">
        <is>
          <t>未开始</t>
        </is>
      </c>
      <c r="L108" s="5" t="inlineStr"/>
      <c r="M108" s="5" t="inlineStr"/>
      <c r="N108" s="6" t="inlineStr"/>
    </row>
    <row r="109">
      <c r="A109" s="5" t="inlineStr">
        <is>
          <t>C-10</t>
        </is>
      </c>
      <c r="B109" s="5" t="inlineStr">
        <is>
          <t>移动端·顾客</t>
        </is>
      </c>
      <c r="C109" s="5" t="inlineStr">
        <is>
          <t>点餐</t>
        </is>
      </c>
      <c r="D109" s="6" t="inlineStr">
        <is>
          <t>自取、外卖模式选择（原'自取、外面模式选择'）</t>
        </is>
      </c>
      <c r="E109" s="6" t="inlineStr"/>
      <c r="F109" s="8" t="inlineStr">
        <is>
          <t>P0</t>
        </is>
      </c>
      <c r="G109" s="6" t="inlineStr">
        <is>
          <t>自研</t>
        </is>
      </c>
      <c r="H109" s="6" t="inlineStr">
        <is>
          <t>yshop</t>
        </is>
      </c>
      <c r="I109" s="5" t="inlineStr">
        <is>
          <t>M2·P0</t>
        </is>
      </c>
      <c r="J109" s="5" t="inlineStr">
        <is>
          <t>M</t>
        </is>
      </c>
      <c r="K109" s="5" t="inlineStr">
        <is>
          <t>未开始</t>
        </is>
      </c>
      <c r="L109" s="5" t="inlineStr"/>
      <c r="M109" s="5" t="inlineStr"/>
      <c r="N109" s="6" t="inlineStr"/>
    </row>
    <row r="110">
      <c r="A110" s="5" t="inlineStr">
        <is>
          <t>C-11</t>
        </is>
      </c>
      <c r="B110" s="5" t="inlineStr">
        <is>
          <t>移动端·顾客</t>
        </is>
      </c>
      <c r="C110" s="5" t="inlineStr">
        <is>
          <t>点餐</t>
        </is>
      </c>
      <c r="D110" s="6" t="inlineStr">
        <is>
          <t>菜品分类</t>
        </is>
      </c>
      <c r="E110" s="6" t="inlineStr"/>
      <c r="F110" s="8" t="inlineStr">
        <is>
          <t>P0</t>
        </is>
      </c>
      <c r="G110" s="6" t="inlineStr">
        <is>
          <t>自研</t>
        </is>
      </c>
      <c r="H110" s="6" t="inlineStr">
        <is>
          <t>yshop</t>
        </is>
      </c>
      <c r="I110" s="5" t="inlineStr">
        <is>
          <t>M2·P0</t>
        </is>
      </c>
      <c r="J110" s="5" t="inlineStr">
        <is>
          <t>S</t>
        </is>
      </c>
      <c r="K110" s="5" t="inlineStr">
        <is>
          <t>未开始</t>
        </is>
      </c>
      <c r="L110" s="5" t="inlineStr"/>
      <c r="M110" s="5" t="inlineStr"/>
      <c r="N110" s="6" t="inlineStr"/>
    </row>
    <row r="111">
      <c r="A111" s="5" t="inlineStr">
        <is>
          <t>C-12</t>
        </is>
      </c>
      <c r="B111" s="5" t="inlineStr">
        <is>
          <t>移动端·顾客</t>
        </is>
      </c>
      <c r="C111" s="5" t="inlineStr">
        <is>
          <t>点餐</t>
        </is>
      </c>
      <c r="D111" s="6" t="inlineStr">
        <is>
          <t>菜品商品</t>
        </is>
      </c>
      <c r="E111" s="6" t="inlineStr"/>
      <c r="F111" s="8" t="inlineStr">
        <is>
          <t>P0</t>
        </is>
      </c>
      <c r="G111" s="6" t="inlineStr">
        <is>
          <t>自研</t>
        </is>
      </c>
      <c r="H111" s="6" t="inlineStr">
        <is>
          <t>yshop</t>
        </is>
      </c>
      <c r="I111" s="5" t="inlineStr">
        <is>
          <t>M2·P0</t>
        </is>
      </c>
      <c r="J111" s="5" t="inlineStr">
        <is>
          <t>M</t>
        </is>
      </c>
      <c r="K111" s="5" t="inlineStr">
        <is>
          <t>未开始</t>
        </is>
      </c>
      <c r="L111" s="5" t="inlineStr"/>
      <c r="M111" s="5" t="inlineStr"/>
      <c r="N111" s="6" t="inlineStr"/>
    </row>
    <row r="112">
      <c r="A112" s="5" t="inlineStr">
        <is>
          <t>C-13</t>
        </is>
      </c>
      <c r="B112" s="5" t="inlineStr">
        <is>
          <t>移动端·顾客</t>
        </is>
      </c>
      <c r="C112" s="5" t="inlineStr">
        <is>
          <t>点餐</t>
        </is>
      </c>
      <c r="D112" s="6" t="inlineStr">
        <is>
          <t>菜品加入购物车</t>
        </is>
      </c>
      <c r="E112" s="6" t="inlineStr"/>
      <c r="F112" s="8" t="inlineStr">
        <is>
          <t>P0</t>
        </is>
      </c>
      <c r="G112" s="6" t="inlineStr">
        <is>
          <t>自研</t>
        </is>
      </c>
      <c r="H112" s="6" t="inlineStr">
        <is>
          <t>yshop</t>
        </is>
      </c>
      <c r="I112" s="5" t="inlineStr">
        <is>
          <t>M2·P0</t>
        </is>
      </c>
      <c r="J112" s="5" t="inlineStr">
        <is>
          <t>M</t>
        </is>
      </c>
      <c r="K112" s="5" t="inlineStr">
        <is>
          <t>未开始</t>
        </is>
      </c>
      <c r="L112" s="5" t="inlineStr"/>
      <c r="M112" s="5" t="inlineStr"/>
      <c r="N112" s="6" t="inlineStr"/>
    </row>
    <row r="113">
      <c r="A113" s="5" t="inlineStr">
        <is>
          <t>C-14</t>
        </is>
      </c>
      <c r="B113" s="5" t="inlineStr">
        <is>
          <t>移动端·顾客</t>
        </is>
      </c>
      <c r="C113" s="5" t="inlineStr">
        <is>
          <t>点餐</t>
        </is>
      </c>
      <c r="D113" s="6" t="inlineStr">
        <is>
          <t>查看菜品详情</t>
        </is>
      </c>
      <c r="E113" s="6" t="inlineStr"/>
      <c r="F113" s="8" t="inlineStr">
        <is>
          <t>P0</t>
        </is>
      </c>
      <c r="G113" s="6" t="inlineStr">
        <is>
          <t>自研</t>
        </is>
      </c>
      <c r="H113" s="6" t="inlineStr">
        <is>
          <t>yshop</t>
        </is>
      </c>
      <c r="I113" s="5" t="inlineStr">
        <is>
          <t>M2·P0</t>
        </is>
      </c>
      <c r="J113" s="5" t="inlineStr">
        <is>
          <t>S</t>
        </is>
      </c>
      <c r="K113" s="5" t="inlineStr">
        <is>
          <t>未开始</t>
        </is>
      </c>
      <c r="L113" s="5" t="inlineStr"/>
      <c r="M113" s="5" t="inlineStr"/>
      <c r="N113" s="6" t="inlineStr"/>
    </row>
    <row r="114">
      <c r="A114" s="5" t="inlineStr">
        <is>
          <t>C-15</t>
        </is>
      </c>
      <c r="B114" s="5" t="inlineStr">
        <is>
          <t>移动端·顾客</t>
        </is>
      </c>
      <c r="C114" s="5" t="inlineStr">
        <is>
          <t>购物车</t>
        </is>
      </c>
      <c r="D114" s="6" t="inlineStr">
        <is>
          <t>清除</t>
        </is>
      </c>
      <c r="E114" s="6" t="inlineStr"/>
      <c r="F114" s="8" t="inlineStr">
        <is>
          <t>P0</t>
        </is>
      </c>
      <c r="G114" s="6" t="inlineStr">
        <is>
          <t>自研</t>
        </is>
      </c>
      <c r="H114" s="6" t="inlineStr">
        <is>
          <t>yshop</t>
        </is>
      </c>
      <c r="I114" s="5" t="inlineStr">
        <is>
          <t>M2·P0</t>
        </is>
      </c>
      <c r="J114" s="5" t="inlineStr">
        <is>
          <t>S</t>
        </is>
      </c>
      <c r="K114" s="5" t="inlineStr">
        <is>
          <t>未开始</t>
        </is>
      </c>
      <c r="L114" s="5" t="inlineStr"/>
      <c r="M114" s="5" t="inlineStr"/>
      <c r="N114" s="6" t="inlineStr"/>
    </row>
    <row r="115">
      <c r="A115" s="5" t="inlineStr">
        <is>
          <t>C-16</t>
        </is>
      </c>
      <c r="B115" s="5" t="inlineStr">
        <is>
          <t>移动端·顾客</t>
        </is>
      </c>
      <c r="C115" s="5" t="inlineStr">
        <is>
          <t>购物车</t>
        </is>
      </c>
      <c r="D115" s="6" t="inlineStr">
        <is>
          <t>直接结算</t>
        </is>
      </c>
      <c r="E115" s="6" t="inlineStr"/>
      <c r="F115" s="8" t="inlineStr">
        <is>
          <t>P0</t>
        </is>
      </c>
      <c r="G115" s="6" t="inlineStr">
        <is>
          <t>自研</t>
        </is>
      </c>
      <c r="H115" s="6" t="inlineStr">
        <is>
          <t>yshop</t>
        </is>
      </c>
      <c r="I115" s="5" t="inlineStr">
        <is>
          <t>M2·P0</t>
        </is>
      </c>
      <c r="J115" s="5" t="inlineStr">
        <is>
          <t>M</t>
        </is>
      </c>
      <c r="K115" s="5" t="inlineStr">
        <is>
          <t>未开始</t>
        </is>
      </c>
      <c r="L115" s="5" t="inlineStr"/>
      <c r="M115" s="5" t="inlineStr"/>
      <c r="N115" s="6" t="inlineStr">
        <is>
          <t>优惠计算走 X-12</t>
        </is>
      </c>
    </row>
    <row r="116">
      <c r="A116" s="5" t="inlineStr">
        <is>
          <t>C-17</t>
        </is>
      </c>
      <c r="B116" s="5" t="inlineStr">
        <is>
          <t>移动端·顾客</t>
        </is>
      </c>
      <c r="C116" s="5" t="inlineStr">
        <is>
          <t>订单</t>
        </is>
      </c>
      <c r="D116" s="6" t="inlineStr">
        <is>
          <t>查看订单列表</t>
        </is>
      </c>
      <c r="E116" s="6" t="inlineStr"/>
      <c r="F116" s="8" t="inlineStr">
        <is>
          <t>P0</t>
        </is>
      </c>
      <c r="G116" s="6" t="inlineStr">
        <is>
          <t>自研</t>
        </is>
      </c>
      <c r="H116" s="6" t="inlineStr">
        <is>
          <t>yshop</t>
        </is>
      </c>
      <c r="I116" s="5" t="inlineStr">
        <is>
          <t>M2·P0</t>
        </is>
      </c>
      <c r="J116" s="5" t="inlineStr">
        <is>
          <t>S</t>
        </is>
      </c>
      <c r="K116" s="5" t="inlineStr">
        <is>
          <t>未开始</t>
        </is>
      </c>
      <c r="L116" s="5" t="inlineStr"/>
      <c r="M116" s="5" t="inlineStr"/>
      <c r="N116" s="6" t="inlineStr"/>
    </row>
    <row r="117">
      <c r="A117" s="5" t="inlineStr">
        <is>
          <t>C-18</t>
        </is>
      </c>
      <c r="B117" s="5" t="inlineStr">
        <is>
          <t>移动端·顾客</t>
        </is>
      </c>
      <c r="C117" s="5" t="inlineStr">
        <is>
          <t>订单</t>
        </is>
      </c>
      <c r="D117" s="6" t="inlineStr">
        <is>
          <t>扫码订单可以继续加餐</t>
        </is>
      </c>
      <c r="E117" s="6" t="inlineStr"/>
      <c r="F117" s="8" t="inlineStr">
        <is>
          <t>P0</t>
        </is>
      </c>
      <c r="G117" s="6" t="inlineStr">
        <is>
          <t>自研（并单）</t>
        </is>
      </c>
      <c r="H117" s="6" t="inlineStr">
        <is>
          <t>—</t>
        </is>
      </c>
      <c r="I117" s="5" t="inlineStr">
        <is>
          <t>M2·P0</t>
        </is>
      </c>
      <c r="J117" s="5" t="inlineStr">
        <is>
          <t>L</t>
        </is>
      </c>
      <c r="K117" s="5" t="inlineStr">
        <is>
          <t>未开始</t>
        </is>
      </c>
      <c r="L117" s="5" t="inlineStr"/>
      <c r="M117" s="5" t="inlineStr"/>
      <c r="N117" s="6" t="inlineStr">
        <is>
          <t>同桌订单并单；堂食核心交互</t>
        </is>
      </c>
    </row>
    <row r="118">
      <c r="A118" s="5" t="inlineStr">
        <is>
          <t>C-19</t>
        </is>
      </c>
      <c r="B118" s="5" t="inlineStr">
        <is>
          <t>移动端·顾客</t>
        </is>
      </c>
      <c r="C118" s="5" t="inlineStr">
        <is>
          <t>订单</t>
        </is>
      </c>
      <c r="D118" s="6" t="inlineStr">
        <is>
          <t>订单详情</t>
        </is>
      </c>
      <c r="E118" s="6" t="inlineStr"/>
      <c r="F118" s="8" t="inlineStr">
        <is>
          <t>P0</t>
        </is>
      </c>
      <c r="G118" s="6" t="inlineStr">
        <is>
          <t>自研</t>
        </is>
      </c>
      <c r="H118" s="6" t="inlineStr">
        <is>
          <t>yshop</t>
        </is>
      </c>
      <c r="I118" s="5" t="inlineStr">
        <is>
          <t>M2·P0</t>
        </is>
      </c>
      <c r="J118" s="5" t="inlineStr">
        <is>
          <t>S</t>
        </is>
      </c>
      <c r="K118" s="5" t="inlineStr">
        <is>
          <t>未开始</t>
        </is>
      </c>
      <c r="L118" s="5" t="inlineStr"/>
      <c r="M118" s="5" t="inlineStr"/>
      <c r="N118" s="6" t="inlineStr"/>
    </row>
    <row r="119">
      <c r="A119" s="5" t="inlineStr">
        <is>
          <t>C-20</t>
        </is>
      </c>
      <c r="B119" s="5" t="inlineStr">
        <is>
          <t>移动端·顾客</t>
        </is>
      </c>
      <c r="C119" s="5" t="inlineStr">
        <is>
          <t>订单</t>
        </is>
      </c>
      <c r="D119" s="6" t="inlineStr">
        <is>
          <t>确认收餐</t>
        </is>
      </c>
      <c r="E119" s="6" t="inlineStr"/>
      <c r="F119" s="8" t="inlineStr">
        <is>
          <t>P0</t>
        </is>
      </c>
      <c r="G119" s="6" t="inlineStr">
        <is>
          <t>自研</t>
        </is>
      </c>
      <c r="H119" s="6" t="inlineStr">
        <is>
          <t>yshop</t>
        </is>
      </c>
      <c r="I119" s="5" t="inlineStr">
        <is>
          <t>M2·P0</t>
        </is>
      </c>
      <c r="J119" s="5" t="inlineStr">
        <is>
          <t>S</t>
        </is>
      </c>
      <c r="K119" s="5" t="inlineStr">
        <is>
          <t>未开始</t>
        </is>
      </c>
      <c r="L119" s="5" t="inlineStr"/>
      <c r="M119" s="5" t="inlineStr"/>
      <c r="N119" s="6" t="inlineStr"/>
    </row>
    <row r="120">
      <c r="A120" s="5" t="inlineStr">
        <is>
          <t>C-21</t>
        </is>
      </c>
      <c r="B120" s="5" t="inlineStr">
        <is>
          <t>移动端·顾客</t>
        </is>
      </c>
      <c r="C120" s="5" t="inlineStr">
        <is>
          <t>订单</t>
        </is>
      </c>
      <c r="D120" s="6" t="inlineStr">
        <is>
          <t>退款功能</t>
        </is>
      </c>
      <c r="E120" s="6" t="inlineStr"/>
      <c r="F120" s="8" t="inlineStr">
        <is>
          <t>P0</t>
        </is>
      </c>
      <c r="G120" s="6" t="inlineStr">
        <is>
          <t>自研（原路退回）</t>
        </is>
      </c>
      <c r="H120" s="6" t="inlineStr">
        <is>
          <t>—</t>
        </is>
      </c>
      <c r="I120" s="5" t="inlineStr">
        <is>
          <t>M2·P0</t>
        </is>
      </c>
      <c r="J120" s="5" t="inlineStr">
        <is>
          <t>M</t>
        </is>
      </c>
      <c r="K120" s="5" t="inlineStr">
        <is>
          <t>未开始</t>
        </is>
      </c>
      <c r="L120" s="5" t="inlineStr"/>
      <c r="M120" s="5" t="inlineStr"/>
      <c r="N120" s="6" t="inlineStr">
        <is>
          <t>部分退款按优惠快照分摊（X-12）</t>
        </is>
      </c>
    </row>
    <row r="121">
      <c r="A121" s="5" t="inlineStr">
        <is>
          <t>C-22</t>
        </is>
      </c>
      <c r="B121" s="5" t="inlineStr">
        <is>
          <t>移动端·顾客</t>
        </is>
      </c>
      <c r="C121" s="5" t="inlineStr">
        <is>
          <t>订单</t>
        </is>
      </c>
      <c r="D121" s="6" t="inlineStr">
        <is>
          <t>支付模块</t>
        </is>
      </c>
      <c r="E121" s="6" t="inlineStr">
        <is>
          <t>微信支付、支付宝支付</t>
        </is>
      </c>
      <c r="F121" s="8" t="inlineStr">
        <is>
          <t>P0</t>
        </is>
      </c>
      <c r="G121" s="6" t="inlineStr">
        <is>
          <t>芋道 pay</t>
        </is>
      </c>
      <c r="H121" s="6" t="inlineStr">
        <is>
          <t>芋道</t>
        </is>
      </c>
      <c r="I121" s="5" t="inlineStr">
        <is>
          <t>M2·P0</t>
        </is>
      </c>
      <c r="J121" s="5" t="inlineStr">
        <is>
          <t>M</t>
        </is>
      </c>
      <c r="K121" s="5" t="inlineStr">
        <is>
          <t>未开始</t>
        </is>
      </c>
      <c r="L121" s="5" t="inlineStr"/>
      <c r="M121" s="5" t="inlineStr"/>
      <c r="N121" s="6" t="inlineStr">
        <is>
          <t>JSAPI/小程序支付</t>
        </is>
      </c>
    </row>
    <row r="122">
      <c r="A122" s="5" t="inlineStr">
        <is>
          <t>C-23</t>
        </is>
      </c>
      <c r="B122" s="5" t="inlineStr">
        <is>
          <t>移动端·顾客</t>
        </is>
      </c>
      <c r="C122" s="5" t="inlineStr">
        <is>
          <t>优惠券</t>
        </is>
      </c>
      <c r="D122" s="6" t="inlineStr">
        <is>
          <t>领取优惠券</t>
        </is>
      </c>
      <c r="E122" s="6" t="inlineStr"/>
      <c r="F122" s="8" t="inlineStr">
        <is>
          <t>P0</t>
        </is>
      </c>
      <c r="G122" s="6" t="inlineStr">
        <is>
          <t>芋道 promotion</t>
        </is>
      </c>
      <c r="H122" s="6" t="inlineStr">
        <is>
          <t>芋道</t>
        </is>
      </c>
      <c r="I122" s="5" t="inlineStr">
        <is>
          <t>M4·P0</t>
        </is>
      </c>
      <c r="J122" s="5" t="inlineStr">
        <is>
          <t>S</t>
        </is>
      </c>
      <c r="K122" s="5" t="inlineStr">
        <is>
          <t>未开始</t>
        </is>
      </c>
      <c r="L122" s="5" t="inlineStr"/>
      <c r="M122" s="5" t="inlineStr"/>
      <c r="N122" s="6" t="inlineStr"/>
    </row>
    <row r="123">
      <c r="A123" s="5" t="inlineStr">
        <is>
          <t>C-24</t>
        </is>
      </c>
      <c r="B123" s="5" t="inlineStr">
        <is>
          <t>移动端·顾客</t>
        </is>
      </c>
      <c r="C123" s="5" t="inlineStr">
        <is>
          <t>优惠券</t>
        </is>
      </c>
      <c r="D123" s="6" t="inlineStr">
        <is>
          <t>我的优惠券</t>
        </is>
      </c>
      <c r="E123" s="6" t="inlineStr"/>
      <c r="F123" s="8" t="inlineStr">
        <is>
          <t>P0</t>
        </is>
      </c>
      <c r="G123" s="6" t="inlineStr">
        <is>
          <t>芋道 promotion</t>
        </is>
      </c>
      <c r="H123" s="6" t="inlineStr">
        <is>
          <t>芋道</t>
        </is>
      </c>
      <c r="I123" s="5" t="inlineStr">
        <is>
          <t>M4·P0</t>
        </is>
      </c>
      <c r="J123" s="5" t="inlineStr">
        <is>
          <t>S</t>
        </is>
      </c>
      <c r="K123" s="5" t="inlineStr">
        <is>
          <t>未开始</t>
        </is>
      </c>
      <c r="L123" s="5" t="inlineStr"/>
      <c r="M123" s="5" t="inlineStr"/>
      <c r="N123" s="6" t="inlineStr"/>
    </row>
    <row r="124">
      <c r="A124" s="5" t="inlineStr">
        <is>
          <t>C-25</t>
        </is>
      </c>
      <c r="B124" s="5" t="inlineStr">
        <is>
          <t>移动端·顾客</t>
        </is>
      </c>
      <c r="C124" s="5" t="inlineStr">
        <is>
          <t>用户</t>
        </is>
      </c>
      <c r="D124" s="6" t="inlineStr">
        <is>
          <t>会员卡</t>
        </is>
      </c>
      <c r="E124" s="6" t="inlineStr"/>
      <c r="F124" s="7" t="inlineStr">
        <is>
          <t>P1</t>
        </is>
      </c>
      <c r="G124" s="6" t="inlineStr">
        <is>
          <t>自研</t>
        </is>
      </c>
      <c r="H124" s="6" t="inlineStr">
        <is>
          <t>—</t>
        </is>
      </c>
      <c r="I124" s="5" t="inlineStr">
        <is>
          <t>M4·P1</t>
        </is>
      </c>
      <c r="J124" s="5" t="inlineStr">
        <is>
          <t>M</t>
        </is>
      </c>
      <c r="K124" s="5" t="inlineStr">
        <is>
          <t>未开始</t>
        </is>
      </c>
      <c r="L124" s="5" t="inlineStr"/>
      <c r="M124" s="5" t="inlineStr"/>
      <c r="N124" s="6" t="inlineStr">
        <is>
          <t>依赖 A-39 会员卡功能</t>
        </is>
      </c>
    </row>
    <row r="125">
      <c r="A125" s="5" t="inlineStr">
        <is>
          <t>C-26</t>
        </is>
      </c>
      <c r="B125" s="5" t="inlineStr">
        <is>
          <t>移动端·顾客</t>
        </is>
      </c>
      <c r="C125" s="5" t="inlineStr">
        <is>
          <t>用户</t>
        </is>
      </c>
      <c r="D125" s="6" t="inlineStr">
        <is>
          <t>地址查看</t>
        </is>
      </c>
      <c r="E125" s="6" t="inlineStr"/>
      <c r="F125" s="8" t="inlineStr">
        <is>
          <t>P0</t>
        </is>
      </c>
      <c r="G125" s="6" t="inlineStr">
        <is>
          <t>芋道</t>
        </is>
      </c>
      <c r="H125" s="6" t="inlineStr">
        <is>
          <t>芋道</t>
        </is>
      </c>
      <c r="I125" s="5" t="inlineStr">
        <is>
          <t>M2·P0</t>
        </is>
      </c>
      <c r="J125" s="5" t="inlineStr">
        <is>
          <t>S</t>
        </is>
      </c>
      <c r="K125" s="5" t="inlineStr">
        <is>
          <t>未开始</t>
        </is>
      </c>
      <c r="L125" s="5" t="inlineStr"/>
      <c r="M125" s="5" t="inlineStr"/>
      <c r="N125" s="6" t="inlineStr"/>
    </row>
    <row r="126">
      <c r="A126" s="5" t="inlineStr">
        <is>
          <t>C-27</t>
        </is>
      </c>
      <c r="B126" s="5" t="inlineStr">
        <is>
          <t>移动端·顾客</t>
        </is>
      </c>
      <c r="C126" s="5" t="inlineStr">
        <is>
          <t>用户</t>
        </is>
      </c>
      <c r="D126" s="6" t="inlineStr">
        <is>
          <t>地址添加编辑</t>
        </is>
      </c>
      <c r="E126" s="6" t="inlineStr"/>
      <c r="F126" s="8" t="inlineStr">
        <is>
          <t>P0</t>
        </is>
      </c>
      <c r="G126" s="6" t="inlineStr">
        <is>
          <t>芋道</t>
        </is>
      </c>
      <c r="H126" s="6" t="inlineStr">
        <is>
          <t>芋道</t>
        </is>
      </c>
      <c r="I126" s="5" t="inlineStr">
        <is>
          <t>M2·P0</t>
        </is>
      </c>
      <c r="J126" s="5" t="inlineStr">
        <is>
          <t>S</t>
        </is>
      </c>
      <c r="K126" s="5" t="inlineStr">
        <is>
          <t>未开始</t>
        </is>
      </c>
      <c r="L126" s="5" t="inlineStr"/>
      <c r="M126" s="5" t="inlineStr"/>
      <c r="N126" s="6" t="inlineStr"/>
    </row>
    <row r="127">
      <c r="A127" s="5" t="inlineStr">
        <is>
          <t>C-28</t>
        </is>
      </c>
      <c r="B127" s="5" t="inlineStr">
        <is>
          <t>移动端·顾客</t>
        </is>
      </c>
      <c r="C127" s="5" t="inlineStr">
        <is>
          <t>用户</t>
        </is>
      </c>
      <c r="D127" s="6" t="inlineStr">
        <is>
          <t>余额充值</t>
        </is>
      </c>
      <c r="E127" s="6" t="inlineStr"/>
      <c r="F127" s="8" t="inlineStr">
        <is>
          <t>P0</t>
        </is>
      </c>
      <c r="G127" s="6" t="inlineStr">
        <is>
          <t>芋道 wallet + 自研分账</t>
        </is>
      </c>
      <c r="H127" s="6" t="inlineStr">
        <is>
          <t>芋道</t>
        </is>
      </c>
      <c r="I127" s="5" t="inlineStr">
        <is>
          <t>M4·P0</t>
        </is>
      </c>
      <c r="J127" s="5" t="inlineStr">
        <is>
          <t>M</t>
        </is>
      </c>
      <c r="K127" s="5" t="inlineStr">
        <is>
          <t>未开始</t>
        </is>
      </c>
      <c r="L127" s="5" t="inlineStr"/>
      <c r="M127" s="5" t="inlineStr"/>
      <c r="N127" s="6" t="inlineStr">
        <is>
          <t>本金/赠金分账；退款只退本金</t>
        </is>
      </c>
    </row>
    <row r="128">
      <c r="A128" s="5" t="inlineStr">
        <is>
          <t>C-29</t>
        </is>
      </c>
      <c r="B128" s="5" t="inlineStr">
        <is>
          <t>移动端·顾客</t>
        </is>
      </c>
      <c r="C128" s="5" t="inlineStr">
        <is>
          <t>用户</t>
        </is>
      </c>
      <c r="D128" s="6" t="inlineStr">
        <is>
          <t>历史消费</t>
        </is>
      </c>
      <c r="E128" s="6" t="inlineStr"/>
      <c r="F128" s="8" t="inlineStr">
        <is>
          <t>P0</t>
        </is>
      </c>
      <c r="G128" s="6" t="inlineStr">
        <is>
          <t>自研</t>
        </is>
      </c>
      <c r="H128" s="6" t="inlineStr">
        <is>
          <t>yshop</t>
        </is>
      </c>
      <c r="I128" s="5" t="inlineStr">
        <is>
          <t>M2·P0</t>
        </is>
      </c>
      <c r="J128" s="5" t="inlineStr">
        <is>
          <t>S</t>
        </is>
      </c>
      <c r="K128" s="5" t="inlineStr">
        <is>
          <t>未开始</t>
        </is>
      </c>
      <c r="L128" s="5" t="inlineStr"/>
      <c r="M128" s="5" t="inlineStr"/>
      <c r="N128" s="6" t="inlineStr"/>
    </row>
    <row r="129">
      <c r="A129" s="5" t="inlineStr">
        <is>
          <t>C-30</t>
        </is>
      </c>
      <c r="B129" s="5" t="inlineStr">
        <is>
          <t>移动端·顾客</t>
        </is>
      </c>
      <c r="C129" s="5" t="inlineStr">
        <is>
          <t>用户</t>
        </is>
      </c>
      <c r="D129" s="6" t="inlineStr">
        <is>
          <t>联系客服</t>
        </is>
      </c>
      <c r="E129" s="6" t="inlineStr"/>
      <c r="F129" s="7" t="inlineStr">
        <is>
          <t>P1</t>
        </is>
      </c>
      <c r="G129" s="6" t="inlineStr">
        <is>
          <t>自研（企微/电话）</t>
        </is>
      </c>
      <c r="H129" s="6" t="inlineStr">
        <is>
          <t>—</t>
        </is>
      </c>
      <c r="I129" s="5" t="inlineStr">
        <is>
          <t>M4·P1</t>
        </is>
      </c>
      <c r="J129" s="5" t="inlineStr">
        <is>
          <t>S</t>
        </is>
      </c>
      <c r="K129" s="5" t="inlineStr">
        <is>
          <t>未开始</t>
        </is>
      </c>
      <c r="L129" s="5" t="inlineStr"/>
      <c r="M129" s="5" t="inlineStr"/>
      <c r="N129" s="6" t="inlineStr"/>
    </row>
    <row r="130">
      <c r="A130" s="5" t="inlineStr">
        <is>
          <t>C-31</t>
        </is>
      </c>
      <c r="B130" s="5" t="inlineStr">
        <is>
          <t>移动端·顾客</t>
        </is>
      </c>
      <c r="C130" s="5" t="inlineStr">
        <is>
          <t>用户</t>
        </is>
      </c>
      <c r="D130" s="6" t="inlineStr">
        <is>
          <t>关于我们</t>
        </is>
      </c>
      <c r="E130" s="6" t="inlineStr"/>
      <c r="F130" s="7" t="inlineStr">
        <is>
          <t>P1</t>
        </is>
      </c>
      <c r="G130" s="6" t="inlineStr">
        <is>
          <t>自研</t>
        </is>
      </c>
      <c r="H130" s="6" t="inlineStr">
        <is>
          <t>yshop</t>
        </is>
      </c>
      <c r="I130" s="5" t="inlineStr">
        <is>
          <t>M4·P1</t>
        </is>
      </c>
      <c r="J130" s="5" t="inlineStr">
        <is>
          <t>S</t>
        </is>
      </c>
      <c r="K130" s="5" t="inlineStr">
        <is>
          <t>未开始</t>
        </is>
      </c>
      <c r="L130" s="5" t="inlineStr"/>
      <c r="M130" s="5" t="inlineStr"/>
      <c r="N130" s="6" t="inlineStr"/>
    </row>
    <row r="131">
      <c r="A131" s="5" t="inlineStr">
        <is>
          <t>C-32</t>
        </is>
      </c>
      <c r="B131" s="5" t="inlineStr">
        <is>
          <t>移动端·顾客</t>
        </is>
      </c>
      <c r="C131" s="5" t="inlineStr">
        <is>
          <t>用户</t>
        </is>
      </c>
      <c r="D131" s="6" t="inlineStr">
        <is>
          <t>帮助中心</t>
        </is>
      </c>
      <c r="E131" s="6" t="inlineStr"/>
      <c r="F131" s="7" t="inlineStr">
        <is>
          <t>P1</t>
        </is>
      </c>
      <c r="G131" s="6" t="inlineStr">
        <is>
          <t>自研</t>
        </is>
      </c>
      <c r="H131" s="6" t="inlineStr">
        <is>
          <t>yshop</t>
        </is>
      </c>
      <c r="I131" s="5" t="inlineStr">
        <is>
          <t>M4·P1</t>
        </is>
      </c>
      <c r="J131" s="5" t="inlineStr">
        <is>
          <t>S</t>
        </is>
      </c>
      <c r="K131" s="5" t="inlineStr">
        <is>
          <t>未开始</t>
        </is>
      </c>
      <c r="L131" s="5" t="inlineStr"/>
      <c r="M131" s="5" t="inlineStr"/>
      <c r="N131" s="6" t="inlineStr"/>
    </row>
    <row r="132">
      <c r="A132" s="5" t="inlineStr">
        <is>
          <t>C-33</t>
        </is>
      </c>
      <c r="B132" s="5" t="inlineStr">
        <is>
          <t>移动端·顾客</t>
        </is>
      </c>
      <c r="C132" s="5" t="inlineStr">
        <is>
          <t>用户</t>
        </is>
      </c>
      <c r="D132" s="6" t="inlineStr">
        <is>
          <t>隐私政策</t>
        </is>
      </c>
      <c r="E132" s="6" t="inlineStr"/>
      <c r="F132" s="8" t="inlineStr">
        <is>
          <t>P0</t>
        </is>
      </c>
      <c r="G132" s="6" t="inlineStr">
        <is>
          <t>自研（内容页）</t>
        </is>
      </c>
      <c r="H132" s="6" t="inlineStr">
        <is>
          <t>—</t>
        </is>
      </c>
      <c r="I132" s="5" t="inlineStr">
        <is>
          <t>M2·P0</t>
        </is>
      </c>
      <c r="J132" s="5" t="inlineStr">
        <is>
          <t>S</t>
        </is>
      </c>
      <c r="K132" s="5" t="inlineStr">
        <is>
          <t>未开始</t>
        </is>
      </c>
      <c r="L132" s="5" t="inlineStr"/>
      <c r="M132" s="5" t="inlineStr"/>
      <c r="N132" s="6" t="inlineStr">
        <is>
          <t>原 P1 上调：小程序上架审核必需</t>
        </is>
      </c>
    </row>
    <row r="133">
      <c r="A133" s="5" t="inlineStr">
        <is>
          <t>C-34</t>
        </is>
      </c>
      <c r="B133" s="5" t="inlineStr">
        <is>
          <t>移动端·顾客</t>
        </is>
      </c>
      <c r="C133" s="5" t="inlineStr">
        <is>
          <t>用户</t>
        </is>
      </c>
      <c r="D133" s="6" t="inlineStr">
        <is>
          <t>信息设置</t>
        </is>
      </c>
      <c r="E133" s="6" t="inlineStr"/>
      <c r="F133" s="7" t="inlineStr">
        <is>
          <t>P1</t>
        </is>
      </c>
      <c r="G133" s="6" t="inlineStr">
        <is>
          <t>自研</t>
        </is>
      </c>
      <c r="H133" s="6" t="inlineStr">
        <is>
          <t>yshop</t>
        </is>
      </c>
      <c r="I133" s="5" t="inlineStr">
        <is>
          <t>M4·P1</t>
        </is>
      </c>
      <c r="J133" s="5" t="inlineStr">
        <is>
          <t>S</t>
        </is>
      </c>
      <c r="K133" s="5" t="inlineStr">
        <is>
          <t>未开始</t>
        </is>
      </c>
      <c r="L133" s="5" t="inlineStr"/>
      <c r="M133" s="5" t="inlineStr"/>
      <c r="N133" s="6" t="inlineStr"/>
    </row>
    <row r="134">
      <c r="A134" s="5" t="inlineStr">
        <is>
          <t>C-35</t>
        </is>
      </c>
      <c r="B134" s="5" t="inlineStr">
        <is>
          <t>移动端·顾客</t>
        </is>
      </c>
      <c r="C134" s="5" t="inlineStr">
        <is>
          <t>用户</t>
        </is>
      </c>
      <c r="D134" s="6" t="inlineStr">
        <is>
          <t>退出登录</t>
        </is>
      </c>
      <c r="E134" s="6" t="inlineStr"/>
      <c r="F134" s="8" t="inlineStr">
        <is>
          <t>P0</t>
        </is>
      </c>
      <c r="G134" s="6" t="inlineStr">
        <is>
          <t>自研</t>
        </is>
      </c>
      <c r="H134" s="6" t="inlineStr">
        <is>
          <t>yshop</t>
        </is>
      </c>
      <c r="I134" s="5" t="inlineStr">
        <is>
          <t>M2·P0</t>
        </is>
      </c>
      <c r="J134" s="5" t="inlineStr">
        <is>
          <t>S</t>
        </is>
      </c>
      <c r="K134" s="5" t="inlineStr">
        <is>
          <t>未开始</t>
        </is>
      </c>
      <c r="L134" s="5" t="inlineStr"/>
      <c r="M134" s="5" t="inlineStr"/>
      <c r="N134" s="6" t="inlineStr"/>
    </row>
    <row r="135">
      <c r="A135" s="5" t="inlineStr">
        <is>
          <t>C-36</t>
        </is>
      </c>
      <c r="B135" s="5" t="inlineStr">
        <is>
          <t>移动端·顾客</t>
        </is>
      </c>
      <c r="C135" s="5" t="inlineStr">
        <is>
          <t>用户</t>
        </is>
      </c>
      <c r="D135" s="6" t="inlineStr">
        <is>
          <t>小程序登录</t>
        </is>
      </c>
      <c r="E135" s="6" t="inlineStr"/>
      <c r="F135" s="8" t="inlineStr">
        <is>
          <t>P0</t>
        </is>
      </c>
      <c r="G135" s="6" t="inlineStr">
        <is>
          <t>芋道 social</t>
        </is>
      </c>
      <c r="H135" s="6" t="inlineStr">
        <is>
          <t>芋道</t>
        </is>
      </c>
      <c r="I135" s="5" t="inlineStr">
        <is>
          <t>M2·P0</t>
        </is>
      </c>
      <c r="J135" s="5" t="inlineStr">
        <is>
          <t>M</t>
        </is>
      </c>
      <c r="K135" s="5" t="inlineStr">
        <is>
          <t>未开始</t>
        </is>
      </c>
      <c r="L135" s="5" t="inlineStr"/>
      <c r="M135" s="5" t="inlineStr"/>
      <c r="N135" s="6" t="inlineStr"/>
    </row>
    <row r="136">
      <c r="A136" s="5" t="inlineStr">
        <is>
          <t>C-37</t>
        </is>
      </c>
      <c r="B136" s="5" t="inlineStr">
        <is>
          <t>移动端·顾客</t>
        </is>
      </c>
      <c r="C136" s="5" t="inlineStr">
        <is>
          <t>用户</t>
        </is>
      </c>
      <c r="D136" s="6" t="inlineStr">
        <is>
          <t>公众号登录</t>
        </is>
      </c>
      <c r="E136" s="6" t="inlineStr"/>
      <c r="F136" s="7" t="inlineStr">
        <is>
          <t>P1</t>
        </is>
      </c>
      <c r="G136" s="6" t="inlineStr">
        <is>
          <t>芋道 social</t>
        </is>
      </c>
      <c r="H136" s="6" t="inlineStr">
        <is>
          <t>芋道</t>
        </is>
      </c>
      <c r="I136" s="5" t="inlineStr">
        <is>
          <t>M8·P1*</t>
        </is>
      </c>
      <c r="J136" s="5" t="inlineStr">
        <is>
          <t>M</t>
        </is>
      </c>
      <c r="K136" s="5" t="inlineStr">
        <is>
          <t>未开始</t>
        </is>
      </c>
      <c r="L136" s="5" t="inlineStr"/>
      <c r="M136" s="5" t="inlineStr"/>
      <c r="N136" s="6" t="inlineStr">
        <is>
          <t>依赖 A-54 账号管理</t>
        </is>
      </c>
    </row>
    <row r="137">
      <c r="A137" s="5" t="inlineStr">
        <is>
          <t>C-38</t>
        </is>
      </c>
      <c r="B137" s="5" t="inlineStr">
        <is>
          <t>移动端·顾客</t>
        </is>
      </c>
      <c r="C137" s="5" t="inlineStr">
        <is>
          <t>用户</t>
        </is>
      </c>
      <c r="D137" s="6" t="inlineStr">
        <is>
          <t>手机登录</t>
        </is>
      </c>
      <c r="E137" s="6" t="inlineStr"/>
      <c r="F137" s="8" t="inlineStr">
        <is>
          <t>P0</t>
        </is>
      </c>
      <c r="G137" s="6" t="inlineStr">
        <is>
          <t>芋道 social</t>
        </is>
      </c>
      <c r="H137" s="6" t="inlineStr">
        <is>
          <t>芋道</t>
        </is>
      </c>
      <c r="I137" s="5" t="inlineStr">
        <is>
          <t>M2·P0</t>
        </is>
      </c>
      <c r="J137" s="5" t="inlineStr">
        <is>
          <t>M</t>
        </is>
      </c>
      <c r="K137" s="5" t="inlineStr">
        <is>
          <t>未开始</t>
        </is>
      </c>
      <c r="L137" s="5" t="inlineStr"/>
      <c r="M137" s="5" t="inlineStr"/>
      <c r="N137" s="6" t="inlineStr"/>
    </row>
    <row r="138">
      <c r="A138" s="5" t="inlineStr">
        <is>
          <t>C-39</t>
        </is>
      </c>
      <c r="B138" s="5" t="inlineStr">
        <is>
          <t>移动端·顾客</t>
        </is>
      </c>
      <c r="C138" s="5" t="inlineStr">
        <is>
          <t>积分商城</t>
        </is>
      </c>
      <c r="D138" s="6" t="inlineStr">
        <is>
          <t>商品详情</t>
        </is>
      </c>
      <c r="E138" s="6" t="inlineStr"/>
      <c r="F138" s="7" t="inlineStr">
        <is>
          <t>P1</t>
        </is>
      </c>
      <c r="G138" s="6" t="inlineStr">
        <is>
          <t>yshop score 移植</t>
        </is>
      </c>
      <c r="H138" s="6" t="inlineStr">
        <is>
          <t>yshop</t>
        </is>
      </c>
      <c r="I138" s="5" t="inlineStr">
        <is>
          <t>M4·P1</t>
        </is>
      </c>
      <c r="J138" s="5" t="inlineStr">
        <is>
          <t>S</t>
        </is>
      </c>
      <c r="K138" s="5" t="inlineStr">
        <is>
          <t>未开始</t>
        </is>
      </c>
      <c r="L138" s="5" t="inlineStr"/>
      <c r="M138" s="5" t="inlineStr"/>
      <c r="N138" s="6" t="inlineStr">
        <is>
          <t>依赖 A-40/41</t>
        </is>
      </c>
    </row>
    <row r="139">
      <c r="A139" s="5" t="inlineStr">
        <is>
          <t>C-40</t>
        </is>
      </c>
      <c r="B139" s="5" t="inlineStr">
        <is>
          <t>移动端·顾客</t>
        </is>
      </c>
      <c r="C139" s="5" t="inlineStr">
        <is>
          <t>积分商城</t>
        </is>
      </c>
      <c r="D139" s="6" t="inlineStr">
        <is>
          <t>确认下单</t>
        </is>
      </c>
      <c r="E139" s="6" t="inlineStr"/>
      <c r="F139" s="7" t="inlineStr">
        <is>
          <t>P1</t>
        </is>
      </c>
      <c r="G139" s="6" t="inlineStr">
        <is>
          <t>yshop score 移植</t>
        </is>
      </c>
      <c r="H139" s="6" t="inlineStr">
        <is>
          <t>yshop</t>
        </is>
      </c>
      <c r="I139" s="5" t="inlineStr">
        <is>
          <t>M4·P1</t>
        </is>
      </c>
      <c r="J139" s="5" t="inlineStr">
        <is>
          <t>M</t>
        </is>
      </c>
      <c r="K139" s="5" t="inlineStr">
        <is>
          <t>未开始</t>
        </is>
      </c>
      <c r="L139" s="5" t="inlineStr"/>
      <c r="M139" s="5" t="inlineStr"/>
      <c r="N139" s="6" t="inlineStr"/>
    </row>
    <row r="140">
      <c r="A140" s="5" t="inlineStr">
        <is>
          <t>C-41</t>
        </is>
      </c>
      <c r="B140" s="5" t="inlineStr">
        <is>
          <t>移动端·顾客</t>
        </is>
      </c>
      <c r="C140" s="5" t="inlineStr">
        <is>
          <t>积分商城</t>
        </is>
      </c>
      <c r="D140" s="6" t="inlineStr">
        <is>
          <t>开始兑换</t>
        </is>
      </c>
      <c r="E140" s="6" t="inlineStr"/>
      <c r="F140" s="7" t="inlineStr">
        <is>
          <t>P1</t>
        </is>
      </c>
      <c r="G140" s="6" t="inlineStr">
        <is>
          <t>yshop score 移植</t>
        </is>
      </c>
      <c r="H140" s="6" t="inlineStr">
        <is>
          <t>yshop</t>
        </is>
      </c>
      <c r="I140" s="5" t="inlineStr">
        <is>
          <t>M4·P1</t>
        </is>
      </c>
      <c r="J140" s="5" t="inlineStr">
        <is>
          <t>M</t>
        </is>
      </c>
      <c r="K140" s="5" t="inlineStr">
        <is>
          <t>未开始</t>
        </is>
      </c>
      <c r="L140" s="5" t="inlineStr"/>
      <c r="M140" s="5" t="inlineStr"/>
      <c r="N140" s="6" t="inlineStr"/>
    </row>
    <row r="141">
      <c r="A141" s="5" t="inlineStr">
        <is>
          <t>C-42</t>
        </is>
      </c>
      <c r="B141" s="5" t="inlineStr">
        <is>
          <t>移动端·顾客</t>
        </is>
      </c>
      <c r="C141" s="5" t="inlineStr">
        <is>
          <t>积分商城</t>
        </is>
      </c>
      <c r="D141" s="6" t="inlineStr">
        <is>
          <t>积分订单</t>
        </is>
      </c>
      <c r="E141" s="6" t="inlineStr"/>
      <c r="F141" s="7" t="inlineStr">
        <is>
          <t>P1</t>
        </is>
      </c>
      <c r="G141" s="6" t="inlineStr">
        <is>
          <t>yshop score 移植</t>
        </is>
      </c>
      <c r="H141" s="6" t="inlineStr">
        <is>
          <t>yshop</t>
        </is>
      </c>
      <c r="I141" s="5" t="inlineStr">
        <is>
          <t>M4·P1</t>
        </is>
      </c>
      <c r="J141" s="5" t="inlineStr">
        <is>
          <t>S</t>
        </is>
      </c>
      <c r="K141" s="5" t="inlineStr">
        <is>
          <t>未开始</t>
        </is>
      </c>
      <c r="L141" s="5" t="inlineStr"/>
      <c r="M141" s="5" t="inlineStr"/>
      <c r="N141" s="6" t="inlineStr"/>
    </row>
    <row r="142">
      <c r="A142" s="5" t="inlineStr">
        <is>
          <t>C-43</t>
        </is>
      </c>
      <c r="B142" s="5" t="inlineStr">
        <is>
          <t>移动端·顾客</t>
        </is>
      </c>
      <c r="C142" s="5" t="inlineStr">
        <is>
          <t>积分商城</t>
        </is>
      </c>
      <c r="D142" s="6" t="inlineStr">
        <is>
          <t>查看快递</t>
        </is>
      </c>
      <c r="E142" s="6" t="inlineStr"/>
      <c r="F142" s="7" t="inlineStr">
        <is>
          <t>P1</t>
        </is>
      </c>
      <c r="G142" s="6" t="inlineStr">
        <is>
          <t>yshop + 快递100</t>
        </is>
      </c>
      <c r="H142" s="6" t="inlineStr">
        <is>
          <t>yshop</t>
        </is>
      </c>
      <c r="I142" s="5" t="inlineStr">
        <is>
          <t>M4·P1</t>
        </is>
      </c>
      <c r="J142" s="5" t="inlineStr">
        <is>
          <t>S</t>
        </is>
      </c>
      <c r="K142" s="5" t="inlineStr">
        <is>
          <t>未开始</t>
        </is>
      </c>
      <c r="L142" s="5" t="inlineStr"/>
      <c r="M142" s="5" t="inlineStr"/>
      <c r="N142" s="6" t="inlineStr">
        <is>
          <t>依赖 A-50 快递公司</t>
        </is>
      </c>
    </row>
    <row r="143">
      <c r="A143" s="5" t="inlineStr">
        <is>
          <t>C-44</t>
        </is>
      </c>
      <c r="B143" s="5" t="inlineStr">
        <is>
          <t>移动端·顾客</t>
        </is>
      </c>
      <c r="C143" s="5" t="inlineStr">
        <is>
          <t>门店</t>
        </is>
      </c>
      <c r="D143" s="6" t="inlineStr">
        <is>
          <t>查看门店</t>
        </is>
      </c>
      <c r="E143" s="6" t="inlineStr"/>
      <c r="F143" s="8" t="inlineStr">
        <is>
          <t>P0</t>
        </is>
      </c>
      <c r="G143" s="6" t="inlineStr">
        <is>
          <t>自研</t>
        </is>
      </c>
      <c r="H143" s="6" t="inlineStr">
        <is>
          <t>yshop</t>
        </is>
      </c>
      <c r="I143" s="5" t="inlineStr">
        <is>
          <t>M2·P0</t>
        </is>
      </c>
      <c r="J143" s="5" t="inlineStr">
        <is>
          <t>S</t>
        </is>
      </c>
      <c r="K143" s="5" t="inlineStr">
        <is>
          <t>未开始</t>
        </is>
      </c>
      <c r="L143" s="5" t="inlineStr"/>
      <c r="M143" s="5" t="inlineStr"/>
      <c r="N143" s="6" t="inlineStr"/>
    </row>
    <row r="144">
      <c r="A144" s="5" t="inlineStr">
        <is>
          <t>C-45</t>
        </is>
      </c>
      <c r="B144" s="5" t="inlineStr">
        <is>
          <t>移动端·顾客</t>
        </is>
      </c>
      <c r="C144" s="5" t="inlineStr">
        <is>
          <t>门店</t>
        </is>
      </c>
      <c r="D144" s="6" t="inlineStr">
        <is>
          <t>附近定位</t>
        </is>
      </c>
      <c r="E144" s="6" t="inlineStr"/>
      <c r="F144" s="8" t="inlineStr">
        <is>
          <t>P0</t>
        </is>
      </c>
      <c r="G144" s="6" t="inlineStr">
        <is>
          <t>自研 + 三方 SDK</t>
        </is>
      </c>
      <c r="H144" s="6" t="inlineStr">
        <is>
          <t>高德/腾讯</t>
        </is>
      </c>
      <c r="I144" s="5" t="inlineStr">
        <is>
          <t>M2·P0</t>
        </is>
      </c>
      <c r="J144" s="5" t="inlineStr">
        <is>
          <t>M</t>
        </is>
      </c>
      <c r="K144" s="5" t="inlineStr">
        <is>
          <t>未开始</t>
        </is>
      </c>
      <c r="L144" s="5" t="inlineStr"/>
      <c r="M144" s="5" t="inlineStr"/>
      <c r="N144" s="6" t="inlineStr"/>
    </row>
    <row r="145">
      <c r="A145" s="5" t="inlineStr">
        <is>
          <t>C-46</t>
        </is>
      </c>
      <c r="B145" s="5" t="inlineStr">
        <is>
          <t>移动端·顾客</t>
        </is>
      </c>
      <c r="C145" s="5" t="inlineStr">
        <is>
          <t>提前预约</t>
        </is>
      </c>
      <c r="D145" s="6" t="inlineStr">
        <is>
          <t>桌面预列表</t>
        </is>
      </c>
      <c r="E145" s="6" t="inlineStr"/>
      <c r="F145" s="7" t="inlineStr">
        <is>
          <t>P1</t>
        </is>
      </c>
      <c r="G145" s="6" t="inlineStr">
        <is>
          <t>自研</t>
        </is>
      </c>
      <c r="H145" s="6" t="inlineStr">
        <is>
          <t>TastyIgniter（只读）</t>
        </is>
      </c>
      <c r="I145" s="5" t="inlineStr">
        <is>
          <t>M6·P1</t>
        </is>
      </c>
      <c r="J145" s="5" t="inlineStr">
        <is>
          <t>M</t>
        </is>
      </c>
      <c r="K145" s="5" t="inlineStr">
        <is>
          <t>未开始</t>
        </is>
      </c>
      <c r="L145" s="5" t="inlineStr"/>
      <c r="M145" s="5" t="inlineStr"/>
      <c r="N145" s="6" t="inlineStr">
        <is>
          <t>依赖 A-11/12/13</t>
        </is>
      </c>
    </row>
    <row r="146">
      <c r="A146" s="5" t="inlineStr">
        <is>
          <t>C-47</t>
        </is>
      </c>
      <c r="B146" s="5" t="inlineStr">
        <is>
          <t>移动端·顾客</t>
        </is>
      </c>
      <c r="C146" s="5" t="inlineStr">
        <is>
          <t>提前预约</t>
        </is>
      </c>
      <c r="D146" s="6" t="inlineStr">
        <is>
          <t>桌面预约详情</t>
        </is>
      </c>
      <c r="E146" s="6" t="inlineStr"/>
      <c r="F146" s="7" t="inlineStr">
        <is>
          <t>P1</t>
        </is>
      </c>
      <c r="G146" s="6" t="inlineStr">
        <is>
          <t>自研</t>
        </is>
      </c>
      <c r="H146" s="6" t="inlineStr">
        <is>
          <t>—</t>
        </is>
      </c>
      <c r="I146" s="5" t="inlineStr">
        <is>
          <t>M6·P1</t>
        </is>
      </c>
      <c r="J146" s="5" t="inlineStr">
        <is>
          <t>S</t>
        </is>
      </c>
      <c r="K146" s="5" t="inlineStr">
        <is>
          <t>未开始</t>
        </is>
      </c>
      <c r="L146" s="5" t="inlineStr"/>
      <c r="M146" s="5" t="inlineStr"/>
      <c r="N146" s="6" t="inlineStr"/>
    </row>
    <row r="147">
      <c r="A147" s="5" t="inlineStr">
        <is>
          <t>C-48</t>
        </is>
      </c>
      <c r="B147" s="5" t="inlineStr">
        <is>
          <t>移动端·顾客</t>
        </is>
      </c>
      <c r="C147" s="5" t="inlineStr">
        <is>
          <t>提前预约</t>
        </is>
      </c>
      <c r="D147" s="6" t="inlineStr">
        <is>
          <t>提交预约</t>
        </is>
      </c>
      <c r="E147" s="6" t="inlineStr"/>
      <c r="F147" s="7" t="inlineStr">
        <is>
          <t>P1</t>
        </is>
      </c>
      <c r="G147" s="6" t="inlineStr">
        <is>
          <t>自研</t>
        </is>
      </c>
      <c r="H147" s="6" t="inlineStr">
        <is>
          <t>—</t>
        </is>
      </c>
      <c r="I147" s="5" t="inlineStr">
        <is>
          <t>M6·P1</t>
        </is>
      </c>
      <c r="J147" s="5" t="inlineStr">
        <is>
          <t>M</t>
        </is>
      </c>
      <c r="K147" s="5" t="inlineStr">
        <is>
          <t>未开始</t>
        </is>
      </c>
      <c r="L147" s="5" t="inlineStr"/>
      <c r="M147" s="5" t="inlineStr"/>
      <c r="N147" s="6" t="inlineStr">
        <is>
          <t>满容量校验</t>
        </is>
      </c>
    </row>
    <row r="148">
      <c r="A148" s="5" t="inlineStr">
        <is>
          <t>C-49</t>
        </is>
      </c>
      <c r="B148" s="5" t="inlineStr">
        <is>
          <t>移动端·顾客</t>
        </is>
      </c>
      <c r="C148" s="5" t="inlineStr">
        <is>
          <t>提前预约</t>
        </is>
      </c>
      <c r="D148" s="6" t="inlineStr">
        <is>
          <t>预约订单</t>
        </is>
      </c>
      <c r="E148" s="6" t="inlineStr"/>
      <c r="F148" s="7" t="inlineStr">
        <is>
          <t>P1</t>
        </is>
      </c>
      <c r="G148" s="6" t="inlineStr">
        <is>
          <t>自研</t>
        </is>
      </c>
      <c r="H148" s="6" t="inlineStr">
        <is>
          <t>—</t>
        </is>
      </c>
      <c r="I148" s="5" t="inlineStr">
        <is>
          <t>M6·P1</t>
        </is>
      </c>
      <c r="J148" s="5" t="inlineStr">
        <is>
          <t>S</t>
        </is>
      </c>
      <c r="K148" s="5" t="inlineStr">
        <is>
          <t>未开始</t>
        </is>
      </c>
      <c r="L148" s="5" t="inlineStr"/>
      <c r="M148" s="5" t="inlineStr"/>
      <c r="N148" s="6" t="inlineStr">
        <is>
          <t>依赖 A-20 预约订单</t>
        </is>
      </c>
    </row>
    <row r="149">
      <c r="A149" s="5" t="inlineStr">
        <is>
          <t>M-01</t>
        </is>
      </c>
      <c r="B149" s="5" t="inlineStr">
        <is>
          <t>移动端·商家中心</t>
        </is>
      </c>
      <c r="C149" s="5" t="inlineStr">
        <is>
          <t>商家中心</t>
        </is>
      </c>
      <c r="D149" s="6" t="inlineStr">
        <is>
          <t>商家首页</t>
        </is>
      </c>
      <c r="E149" s="6" t="inlineStr">
        <is>
          <t>数据面板等查看</t>
        </is>
      </c>
      <c r="F149" s="7" t="inlineStr">
        <is>
          <t>P1</t>
        </is>
      </c>
      <c r="G149" s="6" t="inlineStr">
        <is>
          <t>自研</t>
        </is>
      </c>
      <c r="H149" s="6" t="inlineStr">
        <is>
          <t>yshop（参考）</t>
        </is>
      </c>
      <c r="I149" s="5" t="inlineStr">
        <is>
          <t>M4·P1</t>
        </is>
      </c>
      <c r="J149" s="5" t="inlineStr">
        <is>
          <t>M</t>
        </is>
      </c>
      <c r="K149" s="5" t="inlineStr">
        <is>
          <t>未开始</t>
        </is>
      </c>
      <c r="L149" s="5" t="inlineStr"/>
      <c r="M149" s="5" t="inlineStr"/>
      <c r="N149" s="6" t="inlineStr">
        <is>
          <t>依赖 A-42 销售统计</t>
        </is>
      </c>
    </row>
    <row r="150">
      <c r="A150" s="5" t="inlineStr">
        <is>
          <t>M-02</t>
        </is>
      </c>
      <c r="B150" s="5" t="inlineStr">
        <is>
          <t>移动端·商家中心</t>
        </is>
      </c>
      <c r="C150" s="5" t="inlineStr">
        <is>
          <t>商家中心</t>
        </is>
      </c>
      <c r="D150" s="6" t="inlineStr">
        <is>
          <t>桌台</t>
        </is>
      </c>
      <c r="E150" s="6" t="inlineStr">
        <is>
          <t>可以查看桌台、可以协助点餐</t>
        </is>
      </c>
      <c r="F150" s="7" t="inlineStr">
        <is>
          <t>P1</t>
        </is>
      </c>
      <c r="G150" s="6" t="inlineStr">
        <is>
          <t>自研</t>
        </is>
      </c>
      <c r="H150" s="6" t="inlineStr">
        <is>
          <t>—</t>
        </is>
      </c>
      <c r="I150" s="5" t="inlineStr">
        <is>
          <t>M4·P1</t>
        </is>
      </c>
      <c r="J150" s="5" t="inlineStr">
        <is>
          <t>M</t>
        </is>
      </c>
      <c r="K150" s="5" t="inlineStr">
        <is>
          <t>未开始</t>
        </is>
      </c>
      <c r="L150" s="5" t="inlineStr"/>
      <c r="M150" s="5" t="inlineStr"/>
      <c r="N150" s="6" t="inlineStr">
        <is>
          <t>依赖 A-04</t>
        </is>
      </c>
    </row>
    <row r="151">
      <c r="A151" s="5" t="inlineStr">
        <is>
          <t>M-03</t>
        </is>
      </c>
      <c r="B151" s="5" t="inlineStr">
        <is>
          <t>移动端·商家中心</t>
        </is>
      </c>
      <c r="C151" s="5" t="inlineStr">
        <is>
          <t>商家中心</t>
        </is>
      </c>
      <c r="D151" s="6" t="inlineStr">
        <is>
          <t>菜品管理</t>
        </is>
      </c>
      <c r="E151" s="6" t="inlineStr">
        <is>
          <t>可以添加、编辑菜品</t>
        </is>
      </c>
      <c r="F151" s="7" t="inlineStr">
        <is>
          <t>P1</t>
        </is>
      </c>
      <c r="G151" s="6" t="inlineStr">
        <is>
          <t>自研</t>
        </is>
      </c>
      <c r="H151" s="6" t="inlineStr">
        <is>
          <t>—</t>
        </is>
      </c>
      <c r="I151" s="5" t="inlineStr">
        <is>
          <t>M4·P1</t>
        </is>
      </c>
      <c r="J151" s="5" t="inlineStr">
        <is>
          <t>M</t>
        </is>
      </c>
      <c r="K151" s="5" t="inlineStr">
        <is>
          <t>未开始</t>
        </is>
      </c>
      <c r="L151" s="5" t="inlineStr"/>
      <c r="M151" s="5" t="inlineStr"/>
      <c r="N151" s="6" t="inlineStr">
        <is>
          <t>依赖 A-16 商品管理</t>
        </is>
      </c>
    </row>
    <row r="152">
      <c r="A152" s="5" t="inlineStr">
        <is>
          <t>M-04</t>
        </is>
      </c>
      <c r="B152" s="5" t="inlineStr">
        <is>
          <t>移动端·商家中心</t>
        </is>
      </c>
      <c r="C152" s="5" t="inlineStr">
        <is>
          <t>商家中心</t>
        </is>
      </c>
      <c r="D152" s="6" t="inlineStr">
        <is>
          <t>商家提现</t>
        </is>
      </c>
      <c r="E152" s="6" t="inlineStr">
        <is>
          <t>门店商家用户银行卡提现等</t>
        </is>
      </c>
      <c r="F152" s="9" t="inlineStr">
        <is>
          <t>P2</t>
        </is>
      </c>
      <c r="G152" s="6" t="inlineStr">
        <is>
          <t>自研</t>
        </is>
      </c>
      <c r="H152" s="6" t="inlineStr">
        <is>
          <t>—</t>
        </is>
      </c>
      <c r="I152" s="5" t="inlineStr">
        <is>
          <t>M8·P2</t>
        </is>
      </c>
      <c r="J152" s="5" t="inlineStr">
        <is>
          <t>M</t>
        </is>
      </c>
      <c r="K152" s="5" t="inlineStr">
        <is>
          <t>未开始</t>
        </is>
      </c>
      <c r="L152" s="5" t="inlineStr"/>
      <c r="M152" s="5" t="inlineStr"/>
      <c r="N152" s="6" t="inlineStr">
        <is>
          <t>依赖 X-08</t>
        </is>
      </c>
    </row>
    <row r="153">
      <c r="A153" s="5" t="inlineStr">
        <is>
          <t>M-05</t>
        </is>
      </c>
      <c r="B153" s="5" t="inlineStr">
        <is>
          <t>移动端·商家中心</t>
        </is>
      </c>
      <c r="C153" s="5" t="inlineStr">
        <is>
          <t>商家中心</t>
        </is>
      </c>
      <c r="D153" s="6" t="inlineStr">
        <is>
          <t>订单管理</t>
        </is>
      </c>
      <c r="E153" s="6" t="inlineStr">
        <is>
          <t>可以实时查看订单 出单打印 收货等</t>
        </is>
      </c>
      <c r="F153" s="7" t="inlineStr">
        <is>
          <t>P1</t>
        </is>
      </c>
      <c r="G153" s="6" t="inlineStr">
        <is>
          <t>自研</t>
        </is>
      </c>
      <c r="H153" s="6" t="inlineStr">
        <is>
          <t>—</t>
        </is>
      </c>
      <c r="I153" s="5" t="inlineStr">
        <is>
          <t>M4·P1</t>
        </is>
      </c>
      <c r="J153" s="5" t="inlineStr">
        <is>
          <t>L</t>
        </is>
      </c>
      <c r="K153" s="5" t="inlineStr">
        <is>
          <t>未开始</t>
        </is>
      </c>
      <c r="L153" s="5" t="inlineStr"/>
      <c r="M153" s="5" t="inlineStr"/>
      <c r="N153" s="6" t="inlineStr">
        <is>
          <t>依赖 A-06 打印域、A-02 推送</t>
        </is>
      </c>
    </row>
    <row r="154">
      <c r="A154" s="5" t="inlineStr">
        <is>
          <t>M-06</t>
        </is>
      </c>
      <c r="B154" s="5" t="inlineStr">
        <is>
          <t>移动端·商家中心</t>
        </is>
      </c>
      <c r="C154" s="5" t="inlineStr">
        <is>
          <t>商家中心</t>
        </is>
      </c>
      <c r="D154" s="6" t="inlineStr">
        <is>
          <t>我的管理</t>
        </is>
      </c>
      <c r="E154" s="6" t="inlineStr">
        <is>
          <t>门店信息管理、提现银行卡管理、提现明细查看</t>
        </is>
      </c>
      <c r="F154" s="7" t="inlineStr">
        <is>
          <t>P1</t>
        </is>
      </c>
      <c r="G154" s="6" t="inlineStr">
        <is>
          <t>自研</t>
        </is>
      </c>
      <c r="H154" s="6" t="inlineStr">
        <is>
          <t>—</t>
        </is>
      </c>
      <c r="I154" s="5" t="inlineStr">
        <is>
          <t>M4·P1</t>
        </is>
      </c>
      <c r="J154" s="5" t="inlineStr">
        <is>
          <t>S</t>
        </is>
      </c>
      <c r="K154" s="5" t="inlineStr">
        <is>
          <t>未开始</t>
        </is>
      </c>
      <c r="L154" s="5" t="inlineStr"/>
      <c r="M154" s="5" t="inlineStr"/>
      <c r="N154" s="6" t="inlineStr">
        <is>
          <t>银行卡管理部分随 X-08（P2）交付</t>
        </is>
      </c>
    </row>
    <row r="155">
      <c r="A155" s="5" t="inlineStr">
        <is>
          <t>R-01</t>
        </is>
      </c>
      <c r="B155" s="5" t="inlineStr">
        <is>
          <t>移动端·骑手中心</t>
        </is>
      </c>
      <c r="C155" s="5" t="inlineStr">
        <is>
          <t>骑手中心</t>
        </is>
      </c>
      <c r="D155" s="6" t="inlineStr">
        <is>
          <t>首页数据</t>
        </is>
      </c>
      <c r="E155" s="6" t="inlineStr"/>
      <c r="F155" s="9" t="inlineStr">
        <is>
          <t>P2</t>
        </is>
      </c>
      <c r="G155" s="6" t="inlineStr">
        <is>
          <t>自研</t>
        </is>
      </c>
      <c r="H155" s="6" t="inlineStr">
        <is>
          <t>—</t>
        </is>
      </c>
      <c r="I155" s="5" t="inlineStr">
        <is>
          <t>M7·P2</t>
        </is>
      </c>
      <c r="J155" s="5" t="inlineStr">
        <is>
          <t>S</t>
        </is>
      </c>
      <c r="K155" s="5" t="inlineStr">
        <is>
          <t>未开始</t>
        </is>
      </c>
      <c r="L155" s="5" t="inlineStr"/>
      <c r="M155" s="5" t="inlineStr"/>
      <c r="N155" s="6" t="inlineStr"/>
    </row>
    <row r="156">
      <c r="A156" s="5" t="inlineStr">
        <is>
          <t>R-02</t>
        </is>
      </c>
      <c r="B156" s="5" t="inlineStr">
        <is>
          <t>移动端·骑手中心</t>
        </is>
      </c>
      <c r="C156" s="5" t="inlineStr">
        <is>
          <t>骑手中心</t>
        </is>
      </c>
      <c r="D156" s="6" t="inlineStr">
        <is>
          <t>提现</t>
        </is>
      </c>
      <c r="E156" s="6" t="inlineStr"/>
      <c r="F156" s="9" t="inlineStr">
        <is>
          <t>P2</t>
        </is>
      </c>
      <c r="G156" s="6" t="inlineStr">
        <is>
          <t>自研</t>
        </is>
      </c>
      <c r="H156" s="6" t="inlineStr">
        <is>
          <t>—</t>
        </is>
      </c>
      <c r="I156" s="5" t="inlineStr">
        <is>
          <t>M8·P2</t>
        </is>
      </c>
      <c r="J156" s="5" t="inlineStr">
        <is>
          <t>M</t>
        </is>
      </c>
      <c r="K156" s="5" t="inlineStr">
        <is>
          <t>未开始</t>
        </is>
      </c>
      <c r="L156" s="5" t="inlineStr"/>
      <c r="M156" s="5" t="inlineStr"/>
      <c r="N156" s="6" t="inlineStr">
        <is>
          <t>依赖 X-08</t>
        </is>
      </c>
    </row>
    <row r="157">
      <c r="A157" s="5" t="inlineStr">
        <is>
          <t>R-03</t>
        </is>
      </c>
      <c r="B157" s="5" t="inlineStr">
        <is>
          <t>移动端·骑手中心</t>
        </is>
      </c>
      <c r="C157" s="5" t="inlineStr">
        <is>
          <t>骑手中心</t>
        </is>
      </c>
      <c r="D157" s="6" t="inlineStr">
        <is>
          <t>接单大厅</t>
        </is>
      </c>
      <c r="E157" s="6" t="inlineStr"/>
      <c r="F157" s="9" t="inlineStr">
        <is>
          <t>P2</t>
        </is>
      </c>
      <c r="G157" s="6" t="inlineStr">
        <is>
          <t>自研（抢单/派单双模式）</t>
        </is>
      </c>
      <c r="H157" s="6" t="inlineStr">
        <is>
          <t>FlashWaimai（概念）</t>
        </is>
      </c>
      <c r="I157" s="5" t="inlineStr">
        <is>
          <t>M7·P2</t>
        </is>
      </c>
      <c r="J157" s="5" t="inlineStr">
        <is>
          <t>L</t>
        </is>
      </c>
      <c r="K157" s="5" t="inlineStr">
        <is>
          <t>未开始</t>
        </is>
      </c>
      <c r="L157" s="5" t="inlineStr"/>
      <c r="M157" s="5" t="inlineStr"/>
      <c r="N157" s="6" t="inlineStr">
        <is>
          <t>抢单并发控制</t>
        </is>
      </c>
    </row>
    <row r="158">
      <c r="A158" s="5" t="inlineStr">
        <is>
          <t>R-04</t>
        </is>
      </c>
      <c r="B158" s="5" t="inlineStr">
        <is>
          <t>移动端·骑手中心</t>
        </is>
      </c>
      <c r="C158" s="5" t="inlineStr">
        <is>
          <t>骑手中心</t>
        </is>
      </c>
      <c r="D158" s="6" t="inlineStr">
        <is>
          <t>收入明细</t>
        </is>
      </c>
      <c r="E158" s="6" t="inlineStr"/>
      <c r="F158" s="9" t="inlineStr">
        <is>
          <t>P2</t>
        </is>
      </c>
      <c r="G158" s="6" t="inlineStr">
        <is>
          <t>自研</t>
        </is>
      </c>
      <c r="H158" s="6" t="inlineStr">
        <is>
          <t>—</t>
        </is>
      </c>
      <c r="I158" s="5" t="inlineStr">
        <is>
          <t>M7·P2</t>
        </is>
      </c>
      <c r="J158" s="5" t="inlineStr">
        <is>
          <t>S</t>
        </is>
      </c>
      <c r="K158" s="5" t="inlineStr">
        <is>
          <t>未开始</t>
        </is>
      </c>
      <c r="L158" s="5" t="inlineStr"/>
      <c r="M158" s="5" t="inlineStr"/>
      <c r="N158" s="6" t="inlineStr"/>
    </row>
    <row r="159">
      <c r="A159" s="5" t="inlineStr">
        <is>
          <t>R-05</t>
        </is>
      </c>
      <c r="B159" s="5" t="inlineStr">
        <is>
          <t>移动端·骑手中心</t>
        </is>
      </c>
      <c r="C159" s="5" t="inlineStr">
        <is>
          <t>骑手中心</t>
        </is>
      </c>
      <c r="D159" s="6" t="inlineStr">
        <is>
          <t>历史订单</t>
        </is>
      </c>
      <c r="E159" s="6" t="inlineStr"/>
      <c r="F159" s="9" t="inlineStr">
        <is>
          <t>P2</t>
        </is>
      </c>
      <c r="G159" s="6" t="inlineStr">
        <is>
          <t>自研</t>
        </is>
      </c>
      <c r="H159" s="6" t="inlineStr">
        <is>
          <t>—</t>
        </is>
      </c>
      <c r="I159" s="5" t="inlineStr">
        <is>
          <t>M7·P2</t>
        </is>
      </c>
      <c r="J159" s="5" t="inlineStr">
        <is>
          <t>S</t>
        </is>
      </c>
      <c r="K159" s="5" t="inlineStr">
        <is>
          <t>未开始</t>
        </is>
      </c>
      <c r="L159" s="5" t="inlineStr"/>
      <c r="M159" s="5" t="inlineStr"/>
      <c r="N159" s="6" t="inlineStr"/>
    </row>
    <row r="160">
      <c r="A160" s="5" t="inlineStr">
        <is>
          <t>R-06</t>
        </is>
      </c>
      <c r="B160" s="5" t="inlineStr">
        <is>
          <t>移动端·骑手中心</t>
        </is>
      </c>
      <c r="C160" s="5" t="inlineStr">
        <is>
          <t>骑手中心</t>
        </is>
      </c>
      <c r="D160" s="6" t="inlineStr">
        <is>
          <t>提现明细</t>
        </is>
      </c>
      <c r="E160" s="6" t="inlineStr"/>
      <c r="F160" s="9" t="inlineStr">
        <is>
          <t>P2</t>
        </is>
      </c>
      <c r="G160" s="6" t="inlineStr">
        <is>
          <t>自研</t>
        </is>
      </c>
      <c r="H160" s="6" t="inlineStr">
        <is>
          <t>—</t>
        </is>
      </c>
      <c r="I160" s="5" t="inlineStr">
        <is>
          <t>M8·P2</t>
        </is>
      </c>
      <c r="J160" s="5" t="inlineStr">
        <is>
          <t>S</t>
        </is>
      </c>
      <c r="K160" s="5" t="inlineStr">
        <is>
          <t>未开始</t>
        </is>
      </c>
      <c r="L160" s="5" t="inlineStr"/>
      <c r="M160" s="5" t="inlineStr"/>
      <c r="N160" s="6" t="inlineStr">
        <is>
          <t>依赖 X-08</t>
        </is>
      </c>
    </row>
    <row r="161">
      <c r="A161" s="5" t="inlineStr">
        <is>
          <t>S-01</t>
        </is>
      </c>
      <c r="B161" s="5" t="inlineStr">
        <is>
          <t>门店端</t>
        </is>
      </c>
      <c r="C161" s="5" t="inlineStr">
        <is>
          <t>工作台</t>
        </is>
      </c>
      <c r="D161" s="6" t="inlineStr">
        <is>
          <t>工作台</t>
        </is>
      </c>
      <c r="E161" s="6" t="inlineStr">
        <is>
          <t>实时观看订单与桌面数据</t>
        </is>
      </c>
      <c r="F161" s="8" t="inlineStr">
        <is>
          <t>P0</t>
        </is>
      </c>
      <c r="G161" s="6" t="inlineStr">
        <is>
          <t>D8：同后台 + 门店角色权限</t>
        </is>
      </c>
      <c r="H161" s="6" t="inlineStr">
        <is>
          <t>对应 A-02</t>
        </is>
      </c>
      <c r="I161" s="5" t="inlineStr">
        <is>
          <t>M3·P0</t>
        </is>
      </c>
      <c r="J161" s="5" t="inlineStr">
        <is>
          <t>M</t>
        </is>
      </c>
      <c r="K161" s="5" t="inlineStr">
        <is>
          <t>未开始</t>
        </is>
      </c>
      <c r="L161" s="5" t="inlineStr"/>
      <c r="M161" s="5" t="inlineStr"/>
      <c r="N161" s="6" t="inlineStr">
        <is>
          <t>门店角色数据权限</t>
        </is>
      </c>
    </row>
    <row r="162">
      <c r="A162" s="5" t="inlineStr">
        <is>
          <t>S-02</t>
        </is>
      </c>
      <c r="B162" s="5" t="inlineStr">
        <is>
          <t>门店端</t>
        </is>
      </c>
      <c r="C162" s="5" t="inlineStr">
        <is>
          <t>收银台</t>
        </is>
      </c>
      <c r="D162" s="6" t="inlineStr">
        <is>
          <t>收银</t>
        </is>
      </c>
      <c r="E162" s="6" t="inlineStr">
        <is>
          <t>挂单、取单、现金、余额、扫码收款等</t>
        </is>
      </c>
      <c r="F162" s="8" t="inlineStr">
        <is>
          <t>P0</t>
        </is>
      </c>
      <c r="G162" s="6" t="inlineStr">
        <is>
          <t>D8：同后台</t>
        </is>
      </c>
      <c r="H162" s="6" t="inlineStr">
        <is>
          <t>对应 A-03</t>
        </is>
      </c>
      <c r="I162" s="5" t="inlineStr">
        <is>
          <t>M3·P0</t>
        </is>
      </c>
      <c r="J162" s="5" t="inlineStr">
        <is>
          <t>XL</t>
        </is>
      </c>
      <c r="K162" s="5" t="inlineStr">
        <is>
          <t>未开始</t>
        </is>
      </c>
      <c r="L162" s="5" t="inlineStr"/>
      <c r="M162" s="5" t="inlineStr"/>
      <c r="N162" s="6" t="inlineStr"/>
    </row>
    <row r="163">
      <c r="A163" s="5" t="inlineStr">
        <is>
          <t>S-03</t>
        </is>
      </c>
      <c r="B163" s="5" t="inlineStr">
        <is>
          <t>门店端</t>
        </is>
      </c>
      <c r="C163" s="5" t="inlineStr">
        <is>
          <t>收银台</t>
        </is>
      </c>
      <c r="D163" s="6" t="inlineStr">
        <is>
          <t>桌台</t>
        </is>
      </c>
      <c r="E163" s="6" t="inlineStr">
        <is>
          <t>可以查看桌台信息、可以协助桌台点餐</t>
        </is>
      </c>
      <c r="F163" s="8" t="inlineStr">
        <is>
          <t>P0</t>
        </is>
      </c>
      <c r="G163" s="6" t="inlineStr">
        <is>
          <t>D8：同后台</t>
        </is>
      </c>
      <c r="H163" s="6" t="inlineStr">
        <is>
          <t>对应 A-04</t>
        </is>
      </c>
      <c r="I163" s="5" t="inlineStr">
        <is>
          <t>M3·P0</t>
        </is>
      </c>
      <c r="J163" s="5" t="inlineStr">
        <is>
          <t>M</t>
        </is>
      </c>
      <c r="K163" s="5" t="inlineStr">
        <is>
          <t>未开始</t>
        </is>
      </c>
      <c r="L163" s="5" t="inlineStr"/>
      <c r="M163" s="5" t="inlineStr"/>
      <c r="N163" s="6" t="inlineStr"/>
    </row>
    <row r="164">
      <c r="A164" s="5" t="inlineStr">
        <is>
          <t>S-04</t>
        </is>
      </c>
      <c r="B164" s="5" t="inlineStr">
        <is>
          <t>门店端</t>
        </is>
      </c>
      <c r="C164" s="5" t="inlineStr">
        <is>
          <t>门店中心</t>
        </is>
      </c>
      <c r="D164" s="6" t="inlineStr">
        <is>
          <t>桌号管理</t>
        </is>
      </c>
      <c r="E164" s="6" t="inlineStr">
        <is>
          <t>批量添加桌面 批量导入 批量生成二维码</t>
        </is>
      </c>
      <c r="F164" s="8" t="inlineStr">
        <is>
          <t>P0</t>
        </is>
      </c>
      <c r="G164" s="6" t="inlineStr">
        <is>
          <t>D8：同后台</t>
        </is>
      </c>
      <c r="H164" s="6" t="inlineStr">
        <is>
          <t>对应 A-05</t>
        </is>
      </c>
      <c r="I164" s="5" t="inlineStr">
        <is>
          <t>M1·P0</t>
        </is>
      </c>
      <c r="J164" s="5" t="inlineStr">
        <is>
          <t>M</t>
        </is>
      </c>
      <c r="K164" s="5" t="inlineStr">
        <is>
          <t>未开始</t>
        </is>
      </c>
      <c r="L164" s="5" t="inlineStr"/>
      <c r="M164" s="5" t="inlineStr"/>
      <c r="N164" s="6" t="inlineStr"/>
    </row>
    <row r="165">
      <c r="A165" s="5" t="inlineStr">
        <is>
          <t>S-05</t>
        </is>
      </c>
      <c r="B165" s="5" t="inlineStr">
        <is>
          <t>门店端</t>
        </is>
      </c>
      <c r="C165" s="5" t="inlineStr">
        <is>
          <t>门店中心</t>
        </is>
      </c>
      <c r="D165" s="6" t="inlineStr">
        <is>
          <t>门店管理</t>
        </is>
      </c>
      <c r="E165" s="6" t="inlineStr">
        <is>
          <t>可添加门店管理员与打印机等</t>
        </is>
      </c>
      <c r="F165" s="8" t="inlineStr">
        <is>
          <t>P0</t>
        </is>
      </c>
      <c r="G165" s="6" t="inlineStr">
        <is>
          <t>D8：同后台</t>
        </is>
      </c>
      <c r="H165" s="6" t="inlineStr">
        <is>
          <t>对应 A-07</t>
        </is>
      </c>
      <c r="I165" s="5" t="inlineStr">
        <is>
          <t>M1·P0</t>
        </is>
      </c>
      <c r="J165" s="5" t="inlineStr">
        <is>
          <t>M</t>
        </is>
      </c>
      <c r="K165" s="5" t="inlineStr">
        <is>
          <t>未开始</t>
        </is>
      </c>
      <c r="L165" s="5" t="inlineStr"/>
      <c r="M165" s="5" t="inlineStr"/>
      <c r="N165" s="6" t="inlineStr"/>
    </row>
    <row r="166">
      <c r="A166" s="5" t="inlineStr">
        <is>
          <t>S-06</t>
        </is>
      </c>
      <c r="B166" s="5" t="inlineStr">
        <is>
          <t>门店端</t>
        </is>
      </c>
      <c r="C166" s="5" t="inlineStr">
        <is>
          <t>门店中心</t>
        </is>
      </c>
      <c r="D166" s="6" t="inlineStr">
        <is>
          <t>广告图管理</t>
        </is>
      </c>
      <c r="E166" s="6" t="inlineStr"/>
      <c r="F166" s="8" t="inlineStr">
        <is>
          <t>P0</t>
        </is>
      </c>
      <c r="G166" s="6" t="inlineStr">
        <is>
          <t>D8：同后台</t>
        </is>
      </c>
      <c r="H166" s="6" t="inlineStr">
        <is>
          <t>对应 A-08</t>
        </is>
      </c>
      <c r="I166" s="5" t="inlineStr">
        <is>
          <t>M2·P0</t>
        </is>
      </c>
      <c r="J166" s="5" t="inlineStr">
        <is>
          <t>S</t>
        </is>
      </c>
      <c r="K166" s="5" t="inlineStr">
        <is>
          <t>未开始</t>
        </is>
      </c>
      <c r="L166" s="5" t="inlineStr"/>
      <c r="M166" s="5" t="inlineStr"/>
      <c r="N166" s="6" t="inlineStr"/>
    </row>
    <row r="167">
      <c r="A167" s="5" t="inlineStr">
        <is>
          <t>S-07</t>
        </is>
      </c>
      <c r="B167" s="5" t="inlineStr">
        <is>
          <t>门店端</t>
        </is>
      </c>
      <c r="C167" s="5" t="inlineStr">
        <is>
          <t>门店中心</t>
        </is>
      </c>
      <c r="D167" s="6" t="inlineStr">
        <is>
          <t>门店收支明细</t>
        </is>
      </c>
      <c r="E167" s="6" t="inlineStr"/>
      <c r="F167" s="9" t="inlineStr">
        <is>
          <t>P2</t>
        </is>
      </c>
      <c r="G167" s="6" t="inlineStr">
        <is>
          <t>D8：同后台（门店视角）</t>
        </is>
      </c>
      <c r="H167" s="6" t="inlineStr">
        <is>
          <t>对应 A-48</t>
        </is>
      </c>
      <c r="I167" s="5" t="inlineStr">
        <is>
          <t>M8·P2</t>
        </is>
      </c>
      <c r="J167" s="5" t="inlineStr">
        <is>
          <t>M</t>
        </is>
      </c>
      <c r="K167" s="5" t="inlineStr">
        <is>
          <t>未开始</t>
        </is>
      </c>
      <c r="L167" s="5" t="inlineStr"/>
      <c r="M167" s="5" t="inlineStr"/>
      <c r="N167" s="6" t="inlineStr"/>
    </row>
    <row r="168">
      <c r="A168" s="5" t="inlineStr">
        <is>
          <t>S-08</t>
        </is>
      </c>
      <c r="B168" s="5" t="inlineStr">
        <is>
          <t>门店端</t>
        </is>
      </c>
      <c r="C168" s="5" t="inlineStr">
        <is>
          <t>门店中心</t>
        </is>
      </c>
      <c r="D168" s="6" t="inlineStr">
        <is>
          <t>提现管理</t>
        </is>
      </c>
      <c r="E168" s="6" t="inlineStr"/>
      <c r="F168" s="9" t="inlineStr">
        <is>
          <t>P2</t>
        </is>
      </c>
      <c r="G168" s="6" t="inlineStr">
        <is>
          <t>D8：同后台</t>
        </is>
      </c>
      <c r="H168" s="6" t="inlineStr">
        <is>
          <t>对应 A-46</t>
        </is>
      </c>
      <c r="I168" s="5" t="inlineStr">
        <is>
          <t>M8·P2</t>
        </is>
      </c>
      <c r="J168" s="5" t="inlineStr">
        <is>
          <t>L</t>
        </is>
      </c>
      <c r="K168" s="5" t="inlineStr">
        <is>
          <t>未开始</t>
        </is>
      </c>
      <c r="L168" s="5" t="inlineStr"/>
      <c r="M168" s="5" t="inlineStr"/>
      <c r="N168" s="6" t="inlineStr"/>
    </row>
    <row r="169">
      <c r="A169" s="5" t="inlineStr">
        <is>
          <t>S-09</t>
        </is>
      </c>
      <c r="B169" s="5" t="inlineStr">
        <is>
          <t>门店端</t>
        </is>
      </c>
      <c r="C169" s="5" t="inlineStr">
        <is>
          <t>门店中心</t>
        </is>
      </c>
      <c r="D169" s="6" t="inlineStr">
        <is>
          <t>提现账户</t>
        </is>
      </c>
      <c r="E169" s="6" t="inlineStr"/>
      <c r="F169" s="9" t="inlineStr">
        <is>
          <t>P2</t>
        </is>
      </c>
      <c r="G169" s="6" t="inlineStr">
        <is>
          <t>D8：同后台</t>
        </is>
      </c>
      <c r="H169" s="6" t="inlineStr">
        <is>
          <t>对应 A-47</t>
        </is>
      </c>
      <c r="I169" s="5" t="inlineStr">
        <is>
          <t>M8·P2</t>
        </is>
      </c>
      <c r="J169" s="5" t="inlineStr">
        <is>
          <t>M</t>
        </is>
      </c>
      <c r="K169" s="5" t="inlineStr">
        <is>
          <t>未开始</t>
        </is>
      </c>
      <c r="L169" s="5" t="inlineStr"/>
      <c r="M169" s="5" t="inlineStr"/>
      <c r="N169" s="6" t="inlineStr"/>
    </row>
    <row r="170">
      <c r="A170" s="5" t="inlineStr">
        <is>
          <t>S-10</t>
        </is>
      </c>
      <c r="B170" s="5" t="inlineStr">
        <is>
          <t>门店端</t>
        </is>
      </c>
      <c r="C170" s="5" t="inlineStr">
        <is>
          <t>门店中心</t>
        </is>
      </c>
      <c r="D170" s="6" t="inlineStr">
        <is>
          <t>桌面分类</t>
        </is>
      </c>
      <c r="E170" s="6" t="inlineStr"/>
      <c r="F170" s="7" t="inlineStr">
        <is>
          <t>P1</t>
        </is>
      </c>
      <c r="G170" s="6" t="inlineStr">
        <is>
          <t>D8：同后台</t>
        </is>
      </c>
      <c r="H170" s="6" t="inlineStr">
        <is>
          <t>对应 A-11</t>
        </is>
      </c>
      <c r="I170" s="5" t="inlineStr">
        <is>
          <t>M6·P1</t>
        </is>
      </c>
      <c r="J170" s="5" t="inlineStr">
        <is>
          <t>S</t>
        </is>
      </c>
      <c r="K170" s="5" t="inlineStr">
        <is>
          <t>未开始</t>
        </is>
      </c>
      <c r="L170" s="5" t="inlineStr"/>
      <c r="M170" s="5" t="inlineStr"/>
      <c r="N170" s="6" t="inlineStr"/>
    </row>
    <row r="171">
      <c r="A171" s="5" t="inlineStr">
        <is>
          <t>S-11</t>
        </is>
      </c>
      <c r="B171" s="5" t="inlineStr">
        <is>
          <t>门店端</t>
        </is>
      </c>
      <c r="C171" s="5" t="inlineStr">
        <is>
          <t>门店中心</t>
        </is>
      </c>
      <c r="D171" s="6" t="inlineStr">
        <is>
          <t>预约标签</t>
        </is>
      </c>
      <c r="E171" s="6" t="inlineStr"/>
      <c r="F171" s="7" t="inlineStr">
        <is>
          <t>P1</t>
        </is>
      </c>
      <c r="G171" s="6" t="inlineStr">
        <is>
          <t>D8：同后台</t>
        </is>
      </c>
      <c r="H171" s="6" t="inlineStr">
        <is>
          <t>对应 A-12</t>
        </is>
      </c>
      <c r="I171" s="5" t="inlineStr">
        <is>
          <t>M6·P1</t>
        </is>
      </c>
      <c r="J171" s="5" t="inlineStr">
        <is>
          <t>S</t>
        </is>
      </c>
      <c r="K171" s="5" t="inlineStr">
        <is>
          <t>未开始</t>
        </is>
      </c>
      <c r="L171" s="5" t="inlineStr"/>
      <c r="M171" s="5" t="inlineStr"/>
      <c r="N171" s="6" t="inlineStr"/>
    </row>
    <row r="172">
      <c r="A172" s="5" t="inlineStr">
        <is>
          <t>S-12</t>
        </is>
      </c>
      <c r="B172" s="5" t="inlineStr">
        <is>
          <t>门店端</t>
        </is>
      </c>
      <c r="C172" s="5" t="inlineStr">
        <is>
          <t>门店中心</t>
        </is>
      </c>
      <c r="D172" s="6" t="inlineStr">
        <is>
          <t>预约规则</t>
        </is>
      </c>
      <c r="E172" s="6" t="inlineStr"/>
      <c r="F172" s="7" t="inlineStr">
        <is>
          <t>P1</t>
        </is>
      </c>
      <c r="G172" s="6" t="inlineStr">
        <is>
          <t>D8：同后台</t>
        </is>
      </c>
      <c r="H172" s="6" t="inlineStr">
        <is>
          <t>对应 A-13</t>
        </is>
      </c>
      <c r="I172" s="5" t="inlineStr">
        <is>
          <t>M6·P1</t>
        </is>
      </c>
      <c r="J172" s="5" t="inlineStr">
        <is>
          <t>M</t>
        </is>
      </c>
      <c r="K172" s="5" t="inlineStr">
        <is>
          <t>未开始</t>
        </is>
      </c>
      <c r="L172" s="5" t="inlineStr"/>
      <c r="M172" s="5" t="inlineStr"/>
      <c r="N172" s="6" t="inlineStr"/>
    </row>
    <row r="173">
      <c r="A173" s="5" t="inlineStr">
        <is>
          <t>S-13</t>
        </is>
      </c>
      <c r="B173" s="5" t="inlineStr">
        <is>
          <t>门店端</t>
        </is>
      </c>
      <c r="C173" s="5" t="inlineStr">
        <is>
          <t>商品中心</t>
        </is>
      </c>
      <c r="D173" s="6" t="inlineStr">
        <is>
          <t>商品多规格</t>
        </is>
      </c>
      <c r="E173" s="6" t="inlineStr">
        <is>
          <t>可以添加菜品的SKU属性等</t>
        </is>
      </c>
      <c r="F173" s="8" t="inlineStr">
        <is>
          <t>P0</t>
        </is>
      </c>
      <c r="G173" s="6" t="inlineStr">
        <is>
          <t>D8：同后台</t>
        </is>
      </c>
      <c r="H173" s="6" t="inlineStr">
        <is>
          <t>对应 A-14</t>
        </is>
      </c>
      <c r="I173" s="5" t="inlineStr">
        <is>
          <t>M1·P0</t>
        </is>
      </c>
      <c r="J173" s="5" t="inlineStr">
        <is>
          <t>L</t>
        </is>
      </c>
      <c r="K173" s="5" t="inlineStr">
        <is>
          <t>未开始</t>
        </is>
      </c>
      <c r="L173" s="5" t="inlineStr"/>
      <c r="M173" s="5" t="inlineStr"/>
      <c r="N173" s="6" t="inlineStr"/>
    </row>
    <row r="174">
      <c r="A174" s="5" t="inlineStr">
        <is>
          <t>S-14</t>
        </is>
      </c>
      <c r="B174" s="5" t="inlineStr">
        <is>
          <t>门店端</t>
        </is>
      </c>
      <c r="C174" s="5" t="inlineStr">
        <is>
          <t>商品中心</t>
        </is>
      </c>
      <c r="D174" s="6" t="inlineStr">
        <is>
          <t>商品分类</t>
        </is>
      </c>
      <c r="E174" s="6" t="inlineStr"/>
      <c r="F174" s="8" t="inlineStr">
        <is>
          <t>P0</t>
        </is>
      </c>
      <c r="G174" s="6" t="inlineStr">
        <is>
          <t>D8：同后台</t>
        </is>
      </c>
      <c r="H174" s="6" t="inlineStr">
        <is>
          <t>对应 A-15</t>
        </is>
      </c>
      <c r="I174" s="5" t="inlineStr">
        <is>
          <t>M1·P0</t>
        </is>
      </c>
      <c r="J174" s="5" t="inlineStr">
        <is>
          <t>S</t>
        </is>
      </c>
      <c r="K174" s="5" t="inlineStr">
        <is>
          <t>未开始</t>
        </is>
      </c>
      <c r="L174" s="5" t="inlineStr"/>
      <c r="M174" s="5" t="inlineStr"/>
      <c r="N174" s="6" t="inlineStr"/>
    </row>
    <row r="175">
      <c r="A175" s="5" t="inlineStr">
        <is>
          <t>S-15</t>
        </is>
      </c>
      <c r="B175" s="5" t="inlineStr">
        <is>
          <t>门店端</t>
        </is>
      </c>
      <c r="C175" s="5" t="inlineStr">
        <is>
          <t>商品中心</t>
        </is>
      </c>
      <c r="D175" s="6" t="inlineStr">
        <is>
          <t>商品管理</t>
        </is>
      </c>
      <c r="E175" s="6" t="inlineStr">
        <is>
          <t>可对商品上下架等</t>
        </is>
      </c>
      <c r="F175" s="8" t="inlineStr">
        <is>
          <t>P0</t>
        </is>
      </c>
      <c r="G175" s="6" t="inlineStr">
        <is>
          <t>D8：同后台</t>
        </is>
      </c>
      <c r="H175" s="6" t="inlineStr">
        <is>
          <t>对应 A-16</t>
        </is>
      </c>
      <c r="I175" s="5" t="inlineStr">
        <is>
          <t>M1·P0</t>
        </is>
      </c>
      <c r="J175" s="5" t="inlineStr">
        <is>
          <t>M</t>
        </is>
      </c>
      <c r="K175" s="5" t="inlineStr">
        <is>
          <t>未开始</t>
        </is>
      </c>
      <c r="L175" s="5" t="inlineStr"/>
      <c r="M175" s="5" t="inlineStr"/>
      <c r="N175" s="6" t="inlineStr"/>
    </row>
    <row r="176">
      <c r="A176" s="5" t="inlineStr">
        <is>
          <t>S-16</t>
        </is>
      </c>
      <c r="B176" s="5" t="inlineStr">
        <is>
          <t>门店端</t>
        </is>
      </c>
      <c r="C176" s="5" t="inlineStr">
        <is>
          <t>订单中心</t>
        </is>
      </c>
      <c r="D176" s="6" t="inlineStr">
        <is>
          <t>工作台</t>
        </is>
      </c>
      <c r="E176" s="6" t="inlineStr">
        <is>
          <t>可视化管理订单等</t>
        </is>
      </c>
      <c r="F176" s="8" t="inlineStr">
        <is>
          <t>P0</t>
        </is>
      </c>
      <c r="G176" s="6" t="inlineStr">
        <is>
          <t>D8：同后台</t>
        </is>
      </c>
      <c r="H176" s="6" t="inlineStr">
        <is>
          <t>对应 A-02</t>
        </is>
      </c>
      <c r="I176" s="5" t="inlineStr">
        <is>
          <t>M3·P0</t>
        </is>
      </c>
      <c r="J176" s="5" t="inlineStr">
        <is>
          <t>M</t>
        </is>
      </c>
      <c r="K176" s="5" t="inlineStr">
        <is>
          <t>未开始</t>
        </is>
      </c>
      <c r="L176" s="5" t="inlineStr"/>
      <c r="M176" s="5" t="inlineStr"/>
      <c r="N176" s="6" t="inlineStr"/>
    </row>
    <row r="177">
      <c r="A177" s="5" t="inlineStr">
        <is>
          <t>S-17</t>
        </is>
      </c>
      <c r="B177" s="5" t="inlineStr">
        <is>
          <t>门店端</t>
        </is>
      </c>
      <c r="C177" s="5" t="inlineStr">
        <is>
          <t>订单中心</t>
        </is>
      </c>
      <c r="D177" s="6" t="inlineStr">
        <is>
          <t>订单管理</t>
        </is>
      </c>
      <c r="E177" s="6" t="inlineStr">
        <is>
          <t>更加明细的订单管理等</t>
        </is>
      </c>
      <c r="F177" s="8" t="inlineStr">
        <is>
          <t>P0</t>
        </is>
      </c>
      <c r="G177" s="6" t="inlineStr">
        <is>
          <t>D8：同后台</t>
        </is>
      </c>
      <c r="H177" s="6" t="inlineStr">
        <is>
          <t>对应 A-17~A-21</t>
        </is>
      </c>
      <c r="I177" s="5" t="inlineStr">
        <is>
          <t>M2-M3·P0</t>
        </is>
      </c>
      <c r="J177" s="5" t="inlineStr">
        <is>
          <t>L</t>
        </is>
      </c>
      <c r="K177" s="5" t="inlineStr">
        <is>
          <t>未开始</t>
        </is>
      </c>
      <c r="L177" s="5" t="inlineStr"/>
      <c r="M177" s="5" t="inlineStr"/>
      <c r="N177" s="6" t="inlineStr"/>
    </row>
    <row r="178">
      <c r="A178" s="5" t="inlineStr">
        <is>
          <t>S-18</t>
        </is>
      </c>
      <c r="B178" s="5" t="inlineStr">
        <is>
          <t>门店端</t>
        </is>
      </c>
      <c r="C178" s="5" t="inlineStr">
        <is>
          <t>营销中心</t>
        </is>
      </c>
      <c r="D178" s="6" t="inlineStr">
        <is>
          <t>优惠券管理</t>
        </is>
      </c>
      <c r="E178" s="6" t="inlineStr">
        <is>
          <t>添加优惠券、查看领取等</t>
        </is>
      </c>
      <c r="F178" s="8" t="inlineStr">
        <is>
          <t>P0</t>
        </is>
      </c>
      <c r="G178" s="6" t="inlineStr">
        <is>
          <t>D8：同后台</t>
        </is>
      </c>
      <c r="H178" s="6" t="inlineStr">
        <is>
          <t>对应 A-38</t>
        </is>
      </c>
      <c r="I178" s="5" t="inlineStr">
        <is>
          <t>M4·P0</t>
        </is>
      </c>
      <c r="J178" s="5" t="inlineStr">
        <is>
          <t>M</t>
        </is>
      </c>
      <c r="K178" s="5" t="inlineStr">
        <is>
          <t>未开始</t>
        </is>
      </c>
      <c r="L178" s="5" t="inlineStr"/>
      <c r="M178" s="5" t="inlineStr"/>
      <c r="N178" s="6" t="inlineStr"/>
    </row>
    <row r="179">
      <c r="A179" s="10" t="inlineStr">
        <is>
          <t>S-19</t>
        </is>
      </c>
      <c r="B179" s="10" t="inlineStr">
        <is>
          <t>门店端</t>
        </is>
      </c>
      <c r="C179" s="10" t="inlineStr">
        <is>
          <t>权限</t>
        </is>
      </c>
      <c r="D179" s="11" t="inlineStr">
        <is>
          <t>门店角色与数据权限（仅本店可见）★新增</t>
        </is>
      </c>
      <c r="E179" s="11" t="inlineStr"/>
      <c r="F179" s="13" t="inlineStr">
        <is>
          <t>P0</t>
        </is>
      </c>
      <c r="G179" s="11" t="inlineStr">
        <is>
          <t>芋道 RBAC 数据权限</t>
        </is>
      </c>
      <c r="H179" s="11" t="inlineStr">
        <is>
          <t>芋道</t>
        </is>
      </c>
      <c r="I179" s="10" t="inlineStr">
        <is>
          <t>M1·P0</t>
        </is>
      </c>
      <c r="J179" s="10" t="inlineStr">
        <is>
          <t>M</t>
        </is>
      </c>
      <c r="K179" s="10" t="inlineStr">
        <is>
          <t>未开始</t>
        </is>
      </c>
      <c r="L179" s="10" t="inlineStr"/>
      <c r="M179" s="10" t="inlineStr"/>
      <c r="N179" s="11" t="inlineStr">
        <is>
          <t>原文件未列出但 D8 落地必需，独立验收</t>
        </is>
      </c>
    </row>
    <row r="180">
      <c r="A180" s="5" t="inlineStr">
        <is>
          <t>X-01</t>
        </is>
      </c>
      <c r="B180" s="5" t="inlineStr">
        <is>
          <t>横切技术项</t>
        </is>
      </c>
      <c r="C180" s="5" t="inlineStr">
        <is>
          <t>合规</t>
        </is>
      </c>
      <c r="D180" s="6" t="inlineStr">
        <is>
          <t>License 合规审计（核验+CI 扫描+NOTICE.md）</t>
        </is>
      </c>
      <c r="E180" s="6" t="inlineStr"/>
      <c r="F180" s="8" t="inlineStr">
        <is>
          <t>P0</t>
        </is>
      </c>
      <c r="G180" s="6" t="inlineStr">
        <is>
          <t>工具 + 人工</t>
        </is>
      </c>
      <c r="H180" s="6" t="inlineStr">
        <is>
          <t>—</t>
        </is>
      </c>
      <c r="I180" s="5" t="inlineStr">
        <is>
          <t>M0·P0</t>
        </is>
      </c>
      <c r="J180" s="5" t="inlineStr">
        <is>
          <t>M</t>
        </is>
      </c>
      <c r="K180" s="5" t="inlineStr">
        <is>
          <t>已完成</t>
        </is>
      </c>
      <c r="L180" s="5" t="inlineStr">
        <is>
          <t>2026-09-05</t>
        </is>
      </c>
      <c r="M180" s="5" t="inlineStr"/>
      <c r="N180" s="6" t="inlineStr">
        <is>
          <t>核验报告已出；CI 扫描器接入属 X-03</t>
        </is>
      </c>
    </row>
    <row r="181">
      <c r="A181" s="5" t="inlineStr">
        <is>
          <t>X-02</t>
        </is>
      </c>
      <c r="B181" s="5" t="inlineStr">
        <is>
          <t>横切技术项</t>
        </is>
      </c>
      <c r="C181" s="5" t="inlineStr">
        <is>
          <t>底座</t>
        </is>
      </c>
      <c r="D181" s="6" t="inlineStr">
        <is>
          <t>jdk25 决策门（构建/issue 扫描/支付沙箱冒烟）</t>
        </is>
      </c>
      <c r="E181" s="6" t="inlineStr"/>
      <c r="F181" s="8" t="inlineStr">
        <is>
          <t>P0</t>
        </is>
      </c>
      <c r="G181" s="6" t="inlineStr">
        <is>
          <t>验证流程</t>
        </is>
      </c>
      <c r="H181" s="6" t="inlineStr">
        <is>
          <t>—</t>
        </is>
      </c>
      <c r="I181" s="5" t="inlineStr">
        <is>
          <t>M0·P0</t>
        </is>
      </c>
      <c r="J181" s="5" t="inlineStr">
        <is>
          <t>M</t>
        </is>
      </c>
      <c r="K181" s="5" t="inlineStr">
        <is>
          <t>未开始</t>
        </is>
      </c>
      <c r="L181" s="5" t="inlineStr"/>
      <c r="M181" s="5" t="inlineStr"/>
      <c r="N181" s="6" t="inlineStr">
        <is>
          <t>红灯退 master-jdk17；结论落 docs/ADR/</t>
        </is>
      </c>
    </row>
    <row r="182">
      <c r="A182" s="5" t="inlineStr">
        <is>
          <t>X-03</t>
        </is>
      </c>
      <c r="B182" s="5" t="inlineStr">
        <is>
          <t>横切技术项</t>
        </is>
      </c>
      <c r="C182" s="5" t="inlineStr">
        <is>
          <t>底座</t>
        </is>
      </c>
      <c r="D182" s="6" t="inlineStr">
        <is>
          <t>底座裁剪 + 工程化（CI/docker-compose/规范）</t>
        </is>
      </c>
      <c r="E182" s="6" t="inlineStr"/>
      <c r="F182" s="8" t="inlineStr">
        <is>
          <t>P0</t>
        </is>
      </c>
      <c r="G182" s="6" t="inlineStr">
        <is>
          <t>芋道裁剪</t>
        </is>
      </c>
      <c r="H182" s="6" t="inlineStr">
        <is>
          <t>芋道</t>
        </is>
      </c>
      <c r="I182" s="5" t="inlineStr">
        <is>
          <t>M0·P0</t>
        </is>
      </c>
      <c r="J182" s="5" t="inlineStr">
        <is>
          <t>L</t>
        </is>
      </c>
      <c r="K182" s="5" t="inlineStr">
        <is>
          <t>未开始</t>
        </is>
      </c>
      <c r="L182" s="5" t="inlineStr"/>
      <c r="M182" s="5" t="inlineStr"/>
      <c r="N182" s="6" t="inlineStr">
        <is>
          <t>含 license-maven-plugin + license-checker 进 CI</t>
        </is>
      </c>
    </row>
    <row r="183">
      <c r="A183" s="5" t="inlineStr">
        <is>
          <t>X-04</t>
        </is>
      </c>
      <c r="B183" s="5" t="inlineStr">
        <is>
          <t>横切技术项</t>
        </is>
      </c>
      <c r="C183" s="5" t="inlineStr">
        <is>
          <t>资质</t>
        </is>
      </c>
      <c r="D183" s="6" t="inlineStr">
        <is>
          <t>微信资质申请（开放平台账号+认证）</t>
        </is>
      </c>
      <c r="E183" s="6" t="inlineStr"/>
      <c r="F183" s="8" t="inlineStr">
        <is>
          <t>P0</t>
        </is>
      </c>
      <c r="G183" s="6" t="inlineStr">
        <is>
          <t>行政流程</t>
        </is>
      </c>
      <c r="H183" s="6" t="inlineStr">
        <is>
          <t>—</t>
        </is>
      </c>
      <c r="I183" s="5" t="inlineStr">
        <is>
          <t>M0·P0</t>
        </is>
      </c>
      <c r="J183" s="5" t="inlineStr">
        <is>
          <t>—</t>
        </is>
      </c>
      <c r="K183" s="5" t="inlineStr">
        <is>
          <t>未开始</t>
        </is>
      </c>
      <c r="L183" s="5" t="inlineStr"/>
      <c r="M183" s="5" t="inlineStr"/>
      <c r="N183" s="6" t="inlineStr">
        <is>
          <t>周期数周，M0 第一天启动；开发期用自有小程序</t>
        </is>
      </c>
    </row>
    <row r="184">
      <c r="A184" s="5" t="inlineStr">
        <is>
          <t>X-05</t>
        </is>
      </c>
      <c r="B184" s="5" t="inlineStr">
        <is>
          <t>横切技术项</t>
        </is>
      </c>
      <c r="C184" s="5" t="inlineStr">
        <is>
          <t>支付</t>
        </is>
      </c>
      <c r="D184" s="6" t="inlineStr">
        <is>
          <t>支付回调幂等（状态机+分布式锁+唯一索引）</t>
        </is>
      </c>
      <c r="E184" s="6" t="inlineStr"/>
      <c r="F184" s="8" t="inlineStr">
        <is>
          <t>P0</t>
        </is>
      </c>
      <c r="G184" s="6" t="inlineStr">
        <is>
          <t>自研</t>
        </is>
      </c>
      <c r="H184" s="6" t="inlineStr">
        <is>
          <t>Jeepay（只读）</t>
        </is>
      </c>
      <c r="I184" s="5" t="inlineStr">
        <is>
          <t>M2·P0</t>
        </is>
      </c>
      <c r="J184" s="5" t="inlineStr">
        <is>
          <t>L</t>
        </is>
      </c>
      <c r="K184" s="5" t="inlineStr">
        <is>
          <t>未开始</t>
        </is>
      </c>
      <c r="L184" s="5" t="inlineStr"/>
      <c r="M184" s="5" t="inlineStr"/>
      <c r="N184" s="6" t="inlineStr">
        <is>
          <t>三层防重</t>
        </is>
      </c>
    </row>
    <row r="185">
      <c r="A185" s="5" t="inlineStr">
        <is>
          <t>X-06</t>
        </is>
      </c>
      <c r="B185" s="5" t="inlineStr">
        <is>
          <t>横切技术项</t>
        </is>
      </c>
      <c r="C185" s="5" t="inlineStr">
        <is>
          <t>库存</t>
        </is>
      </c>
      <c r="D185" s="6" t="inlineStr">
        <is>
          <t>库存防超卖（Redis Lua 预扣+DB 乐观锁）</t>
        </is>
      </c>
      <c r="E185" s="6" t="inlineStr"/>
      <c r="F185" s="8" t="inlineStr">
        <is>
          <t>P0</t>
        </is>
      </c>
      <c r="G185" s="6" t="inlineStr">
        <is>
          <t>自研</t>
        </is>
      </c>
      <c r="H185" s="6" t="inlineStr">
        <is>
          <t>—</t>
        </is>
      </c>
      <c r="I185" s="5" t="inlineStr">
        <is>
          <t>M2·P0</t>
        </is>
      </c>
      <c r="J185" s="5" t="inlineStr">
        <is>
          <t>M</t>
        </is>
      </c>
      <c r="K185" s="5" t="inlineStr">
        <is>
          <t>未开始</t>
        </is>
      </c>
      <c r="L185" s="5" t="inlineStr"/>
      <c r="M185" s="5" t="inlineStr"/>
      <c r="N185" s="6" t="inlineStr">
        <is>
          <t>估清与库存分离</t>
        </is>
      </c>
    </row>
    <row r="186">
      <c r="A186" s="5" t="inlineStr">
        <is>
          <t>X-07</t>
        </is>
      </c>
      <c r="B186" s="5" t="inlineStr">
        <is>
          <t>横切技术项</t>
        </is>
      </c>
      <c r="C186" s="5" t="inlineStr">
        <is>
          <t>配送</t>
        </is>
      </c>
      <c r="D186" s="6" t="inlineStr">
        <is>
          <t>配送调度抽象（DeliveryDispatcher：三方/自配）</t>
        </is>
      </c>
      <c r="E186" s="6" t="inlineStr"/>
      <c r="F186" s="8" t="inlineStr">
        <is>
          <t>P0</t>
        </is>
      </c>
      <c r="G186" s="6" t="inlineStr">
        <is>
          <t>自研</t>
        </is>
      </c>
      <c r="H186" s="6" t="inlineStr">
        <is>
          <t>UU跑腿 API</t>
        </is>
      </c>
      <c r="I186" s="5" t="inlineStr">
        <is>
          <t>M2→M7</t>
        </is>
      </c>
      <c r="J186" s="5" t="inlineStr">
        <is>
          <t>L</t>
        </is>
      </c>
      <c r="K186" s="5" t="inlineStr">
        <is>
          <t>未开始</t>
        </is>
      </c>
      <c r="L186" s="5" t="inlineStr"/>
      <c r="M186" s="5" t="inlineStr"/>
      <c r="N186" s="6" t="inlineStr">
        <is>
          <t>MVP 用三方配送（P0）；自配送扩展 P2/M7；外卖单按门店配置路由</t>
        </is>
      </c>
    </row>
    <row r="187">
      <c r="A187" s="5" t="inlineStr">
        <is>
          <t>X-08</t>
        </is>
      </c>
      <c r="B187" s="5" t="inlineStr">
        <is>
          <t>横切技术项</t>
        </is>
      </c>
      <c r="C187" s="5" t="inlineStr">
        <is>
          <t>财务</t>
        </is>
      </c>
      <c r="D187" s="6" t="inlineStr">
        <is>
          <t>提现与资金合规域（申请-审核-打款-对账）</t>
        </is>
      </c>
      <c r="E187" s="6" t="inlineStr"/>
      <c r="F187" s="9" t="inlineStr">
        <is>
          <t>P2</t>
        </is>
      </c>
      <c r="G187" s="6" t="inlineStr">
        <is>
          <t>自研 + 微信商家转账 API</t>
        </is>
      </c>
      <c r="H187" s="6" t="inlineStr">
        <is>
          <t>—</t>
        </is>
      </c>
      <c r="I187" s="5" t="inlineStr">
        <is>
          <t>M8·P2</t>
        </is>
      </c>
      <c r="J187" s="5" t="inlineStr">
        <is>
          <t>XL</t>
        </is>
      </c>
      <c r="K187" s="5" t="inlineStr">
        <is>
          <t>未开始</t>
        </is>
      </c>
      <c r="L187" s="5" t="inlineStr"/>
      <c r="M187" s="5" t="inlineStr"/>
      <c r="N187" s="6" t="inlineStr">
        <is>
          <t>资金合规红线项（计划 R4）</t>
        </is>
      </c>
    </row>
    <row r="188">
      <c r="A188" s="5" t="inlineStr">
        <is>
          <t>X-09</t>
        </is>
      </c>
      <c r="B188" s="5" t="inlineStr">
        <is>
          <t>横切技术项</t>
        </is>
      </c>
      <c r="C188" s="5" t="inlineStr">
        <is>
          <t>支付</t>
        </is>
      </c>
      <c r="D188" s="6" t="inlineStr">
        <is>
          <t>每日支付对账</t>
        </is>
      </c>
      <c r="E188" s="6" t="inlineStr"/>
      <c r="F188" s="8" t="inlineStr">
        <is>
          <t>P0</t>
        </is>
      </c>
      <c r="G188" s="6" t="inlineStr">
        <is>
          <t>自研</t>
        </is>
      </c>
      <c r="H188" s="6" t="inlineStr">
        <is>
          <t>Jeepay（只读）</t>
        </is>
      </c>
      <c r="I188" s="5" t="inlineStr">
        <is>
          <t>M3·P0 起</t>
        </is>
      </c>
      <c r="J188" s="5" t="inlineStr">
        <is>
          <t>L</t>
        </is>
      </c>
      <c r="K188" s="5" t="inlineStr">
        <is>
          <t>未开始</t>
        </is>
      </c>
      <c r="L188" s="5" t="inlineStr"/>
      <c r="M188" s="5" t="inlineStr"/>
      <c r="N188" s="6" t="inlineStr">
        <is>
          <t>差异人工队列</t>
        </is>
      </c>
    </row>
    <row r="189">
      <c r="A189" s="5" t="inlineStr">
        <is>
          <t>X-10</t>
        </is>
      </c>
      <c r="B189" s="5" t="inlineStr">
        <is>
          <t>横切技术项</t>
        </is>
      </c>
      <c r="C189" s="5" t="inlineStr">
        <is>
          <t>SaaS</t>
        </is>
      </c>
      <c r="D189" s="6" t="inlineStr">
        <is>
          <t>SaaS 套餐计费（功能开关+配额）</t>
        </is>
      </c>
      <c r="E189" s="6" t="inlineStr"/>
      <c r="F189" s="9" t="inlineStr">
        <is>
          <t>P2</t>
        </is>
      </c>
      <c r="G189" s="6" t="inlineStr">
        <is>
          <t>自研</t>
        </is>
      </c>
      <c r="H189" s="6" t="inlineStr">
        <is>
          <t>—</t>
        </is>
      </c>
      <c r="I189" s="5" t="inlineStr">
        <is>
          <t>M8·P2</t>
        </is>
      </c>
      <c r="J189" s="5" t="inlineStr">
        <is>
          <t>L</t>
        </is>
      </c>
      <c r="K189" s="5" t="inlineStr">
        <is>
          <t>未开始</t>
        </is>
      </c>
      <c r="L189" s="5" t="inlineStr"/>
      <c r="M189" s="5" t="inlineStr"/>
      <c r="N189" s="6" t="inlineStr">
        <is>
          <t>试用/到期停用</t>
        </is>
      </c>
    </row>
    <row r="190">
      <c r="A190" s="5" t="inlineStr">
        <is>
          <t>X-11</t>
        </is>
      </c>
      <c r="B190" s="5" t="inlineStr">
        <is>
          <t>横切技术项</t>
        </is>
      </c>
      <c r="C190" s="5" t="inlineStr">
        <is>
          <t>微信</t>
        </is>
      </c>
      <c r="D190" s="6" t="inlineStr">
        <is>
          <t>微信第三方平台（代小程序授权/上传/发布）</t>
        </is>
      </c>
      <c r="E190" s="6" t="inlineStr"/>
      <c r="F190" s="9" t="inlineStr">
        <is>
          <t>P2</t>
        </is>
      </c>
      <c r="G190" s="6" t="inlineStr">
        <is>
          <t>自研 + 微信开放平台</t>
        </is>
      </c>
      <c r="H190" s="6" t="inlineStr">
        <is>
          <t>—</t>
        </is>
      </c>
      <c r="I190" s="5" t="inlineStr">
        <is>
          <t>M8·P2</t>
        </is>
      </c>
      <c r="J190" s="5" t="inlineStr">
        <is>
          <t>L</t>
        </is>
      </c>
      <c r="K190" s="5" t="inlineStr">
        <is>
          <t>未开始</t>
        </is>
      </c>
      <c r="L190" s="5" t="inlineStr"/>
      <c r="M190" s="5" t="inlineStr"/>
      <c r="N190" s="6" t="inlineStr">
        <is>
          <t>租户小程序免开发接入；依赖 X-04</t>
        </is>
      </c>
    </row>
    <row r="191">
      <c r="A191" s="5" t="inlineStr">
        <is>
          <t>X-12</t>
        </is>
      </c>
      <c r="B191" s="5" t="inlineStr">
        <is>
          <t>横切技术项</t>
        </is>
      </c>
      <c r="C191" s="5" t="inlineStr">
        <is>
          <t>营销</t>
        </is>
      </c>
      <c r="D191" s="6" t="inlineStr">
        <is>
          <t>优惠计算管道 + 快照分摊</t>
        </is>
      </c>
      <c r="E191" s="6" t="inlineStr"/>
      <c r="F191" s="8" t="inlineStr">
        <is>
          <t>P0</t>
        </is>
      </c>
      <c r="G191" s="6" t="inlineStr">
        <is>
          <t>自研</t>
        </is>
      </c>
      <c r="H191" s="6" t="inlineStr">
        <is>
          <t>—</t>
        </is>
      </c>
      <c r="I191" s="5" t="inlineStr">
        <is>
          <t>M4</t>
        </is>
      </c>
      <c r="J191" s="5" t="inlineStr">
        <is>
          <t>L</t>
        </is>
      </c>
      <c r="K191" s="5" t="inlineStr">
        <is>
          <t>未开始</t>
        </is>
      </c>
      <c r="L191" s="5" t="inlineStr"/>
      <c r="M191" s="5" t="inlineStr"/>
      <c r="N191" s="6" t="inlineStr">
        <is>
          <t>会员价→券→积分→储值；P0 管道核心、P1 完整化；部分退款依赖快照</t>
        </is>
      </c>
    </row>
    <row r="192">
      <c r="A192" s="5" t="inlineStr">
        <is>
          <t>X-13</t>
        </is>
      </c>
      <c r="B192" s="5" t="inlineStr">
        <is>
          <t>横切技术项</t>
        </is>
      </c>
      <c r="C192" s="5" t="inlineStr">
        <is>
          <t>协同</t>
        </is>
      </c>
      <c r="D192" s="6" t="inlineStr">
        <is>
          <t>协同会话服务端域（opId 幂等+版本快照+广播）</t>
        </is>
      </c>
      <c r="E192" s="6" t="inlineStr"/>
      <c r="F192" s="7" t="inlineStr">
        <is>
          <t>P1</t>
        </is>
      </c>
      <c r="G192" s="6" t="inlineStr">
        <is>
          <t>自研（服务端权威）</t>
        </is>
      </c>
      <c r="H192" s="6" t="inlineStr">
        <is>
          <t>BiteGo（文档精读）</t>
        </is>
      </c>
      <c r="I192" s="5" t="inlineStr">
        <is>
          <t>M5·P1</t>
        </is>
      </c>
      <c r="J192" s="5" t="inlineStr">
        <is>
          <t>XL</t>
        </is>
      </c>
      <c r="K192" s="5" t="inlineStr">
        <is>
          <t>未开始</t>
        </is>
      </c>
      <c r="L192" s="5" t="inlineStr"/>
      <c r="M192" s="5" t="inlineStr"/>
      <c r="N192" s="6" t="inlineStr">
        <is>
          <t>与 C-02 配对；断线重连拉全量</t>
        </is>
      </c>
    </row>
  </sheetData>
  <autoFilter ref="A1:N192"/>
  <conditionalFormatting sqref="K2:K192">
    <cfRule type="expression" priority="1" dxfId="0">
      <formula>$K2="进行中"</formula>
    </cfRule>
    <cfRule type="expression" priority="2" dxfId="1">
      <formula>OR($K2="已完成",$K2="已验收")</formula>
    </cfRule>
    <cfRule type="expression" priority="3" dxfId="2">
      <formula>$K2="已取消"</formula>
    </cfRule>
  </conditionalFormatting>
  <dataValidations count="3">
    <dataValidation sqref="F2:F392" showDropDown="0" showInputMessage="0" showErrorMessage="0" allowBlank="1" type="list">
      <formula1>"P0,P1,P2"</formula1>
    </dataValidation>
    <dataValidation sqref="J2:J392" showDropDown="0" showInputMessage="0" showErrorMessage="0" allowBlank="1" type="list">
      <formula1>"S,M,L,XL,—"</formula1>
    </dataValidation>
    <dataValidation sqref="K2:K392" showDropDown="0" showInputMessage="0" showErrorMessage="0" allowBlank="1" type="list">
      <formula1>"未开始,进行中,已完成,已验收,已取消"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4" t="inlineStr">
        <is>
          <t>统计看板（公式实时计算，改『功能清单』状态后自动更新；总数 191 = 178 功能行 + 13 横切技术项）</t>
        </is>
      </c>
    </row>
    <row r="3">
      <c r="A3" s="15" t="inlineStr">
        <is>
          <t>按状态</t>
        </is>
      </c>
    </row>
    <row r="4">
      <c r="A4" s="16" t="inlineStr">
        <is>
          <t>未开始</t>
        </is>
      </c>
      <c r="B4" s="17">
        <f>COUNTIF('功能清单'!$K:$K,"未开始")</f>
        <v/>
      </c>
    </row>
    <row r="5">
      <c r="A5" s="16" t="inlineStr">
        <is>
          <t>进行中</t>
        </is>
      </c>
      <c r="B5" s="17">
        <f>COUNTIF('功能清单'!$K:$K,"进行中")</f>
        <v/>
      </c>
    </row>
    <row r="6">
      <c r="A6" s="16" t="inlineStr">
        <is>
          <t>已完成</t>
        </is>
      </c>
      <c r="B6" s="17">
        <f>COUNTIF('功能清单'!$K:$K,"已完成")</f>
        <v/>
      </c>
    </row>
    <row r="7">
      <c r="A7" s="16" t="inlineStr">
        <is>
          <t>已验收</t>
        </is>
      </c>
      <c r="B7" s="17">
        <f>COUNTIF('功能清单'!$K:$K,"已验收")</f>
        <v/>
      </c>
    </row>
    <row r="8">
      <c r="A8" s="16" t="inlineStr">
        <is>
          <t>已取消</t>
        </is>
      </c>
      <c r="B8" s="17">
        <f>COUNTIF('功能清单'!$K:$K,"已取消")</f>
        <v/>
      </c>
    </row>
    <row r="9">
      <c r="A9" s="16" t="inlineStr">
        <is>
          <t>总进度（已验收/191）</t>
        </is>
      </c>
      <c r="B9" s="17">
        <f>COUNTIF('功能清单'!$K:$K,"已验收")/191</f>
        <v/>
      </c>
    </row>
    <row r="11">
      <c r="A11" s="15" t="inlineStr">
        <is>
          <t>按端</t>
        </is>
      </c>
    </row>
    <row r="12">
      <c r="A12" s="16" t="inlineStr">
        <is>
          <t>后台管理端（原文件行2-99）</t>
        </is>
      </c>
      <c r="B12" s="17">
        <f>COUNTIF('功能清单'!$B:$B,"后台管理端")</f>
        <v/>
      </c>
    </row>
    <row r="13">
      <c r="A13" s="16" t="inlineStr">
        <is>
          <t>移动端·顾客</t>
        </is>
      </c>
      <c r="B13" s="17">
        <f>COUNTIF('功能清单'!$B:$B,"移动端·顾客")</f>
        <v/>
      </c>
    </row>
    <row r="14">
      <c r="A14" s="16" t="inlineStr">
        <is>
          <t>移动端·商家中心</t>
        </is>
      </c>
      <c r="B14" s="17">
        <f>COUNTIF('功能清单'!$B:$B,"移动端·商家中心")</f>
        <v/>
      </c>
    </row>
    <row r="15">
      <c r="A15" s="16" t="inlineStr">
        <is>
          <t>移动端·骑手中心</t>
        </is>
      </c>
      <c r="B15" s="17">
        <f>COUNTIF('功能清单'!$B:$B,"移动端·骑手中心")</f>
        <v/>
      </c>
    </row>
    <row r="16">
      <c r="A16" s="16" t="inlineStr">
        <is>
          <t>门店端</t>
        </is>
      </c>
      <c r="B16" s="17">
        <f>COUNTIF('功能清单'!$B:$B,"门店端")</f>
        <v/>
      </c>
    </row>
    <row r="17">
      <c r="A17" s="16" t="inlineStr">
        <is>
          <t>横切技术项（新增）</t>
        </is>
      </c>
      <c r="B17" s="17">
        <f>COUNTIF('功能清单'!$B:$B,"横切技术项")</f>
        <v/>
      </c>
    </row>
    <row r="19">
      <c r="A19" s="15" t="inlineStr">
        <is>
          <t>按重要性</t>
        </is>
      </c>
    </row>
    <row r="20">
      <c r="A20" s="16" t="inlineStr">
        <is>
          <t>P0（MVP 必须）</t>
        </is>
      </c>
      <c r="B20" s="17">
        <f>COUNTIF('功能清单'!$F:$F,"P0")</f>
        <v/>
      </c>
    </row>
    <row r="21">
      <c r="A21" s="16" t="inlineStr">
        <is>
          <t>P1（完整体验）</t>
        </is>
      </c>
      <c r="B21" s="17">
        <f>COUNTIF('功能清单'!$F:$F,"P1")</f>
        <v/>
      </c>
    </row>
    <row r="22">
      <c r="A22" s="16" t="inlineStr">
        <is>
          <t>P2（规模化）</t>
        </is>
      </c>
      <c r="B22" s="17">
        <f>COUNTIF('功能清单'!$F:$F,"P2")</f>
        <v/>
      </c>
    </row>
    <row r="24">
      <c r="A24" s="15" t="inlineStr">
        <is>
          <t>P0 完成度（上线门槛）</t>
        </is>
      </c>
    </row>
    <row r="25">
      <c r="A25" s="16" t="inlineStr">
        <is>
          <t>P0 已验收数</t>
        </is>
      </c>
      <c r="B25" s="17">
        <f>COUNTIFS('功能清单'!$F:$F,"P0",'功能清单'!$K:$K,"已验收")</f>
        <v/>
      </c>
    </row>
    <row r="26">
      <c r="A26" s="16" t="inlineStr">
        <is>
          <t>P0 总数</t>
        </is>
      </c>
      <c r="B26" s="17">
        <f>COUNTIF('功能清单'!$F:$F,"P0")</f>
        <v/>
      </c>
    </row>
    <row r="28">
      <c r="A28" s="15" t="inlineStr">
        <is>
          <t>按实现方式</t>
        </is>
      </c>
    </row>
    <row r="29">
      <c r="A29" s="16" t="inlineStr">
        <is>
          <t>芋道直供/扩展</t>
        </is>
      </c>
      <c r="B29" s="17">
        <f>COUNTIF('功能清单'!$G:$G,"芋道*")</f>
        <v/>
      </c>
    </row>
    <row r="30">
      <c r="A30" s="16" t="inlineStr">
        <is>
          <t>yshop 移植</t>
        </is>
      </c>
      <c r="B30" s="17">
        <f>COUNTIF('功能清单'!$G:$G,"yshop*")</f>
        <v/>
      </c>
    </row>
    <row r="31">
      <c r="A31" s="16" t="inlineStr">
        <is>
          <t>D8 同后台（门店端复用）</t>
        </is>
      </c>
      <c r="B31" s="17">
        <f>COUNTIF('功能清单'!$G:$G,"D8*")</f>
        <v/>
      </c>
    </row>
    <row r="32">
      <c r="A32" s="16" t="inlineStr">
        <is>
          <t>纯自研</t>
        </is>
      </c>
      <c r="B32" s="17">
        <f>COUNTIF('功能清单'!$G:$G,"自研*")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2026-09-05T04:17:12Z</dcterms:created>
  <dcterms:modified xsi:type="dcterms:W3CDTF">2026-09-05T04:17:13Z</dcterms:modified>
</cp:coreProperties>
</file>